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DHTKVM21A_HDL" sheetId="11" r:id="rId1"/>
    <sheet name="DHTKVM21B_HDL" sheetId="12" r:id="rId2"/>
    <sheet name="LY THUYET_MAU" sheetId="8" r:id="rId3"/>
    <sheet name="thuc hanh-mau" sheetId="10" r:id="rId4"/>
  </sheets>
  <definedNames>
    <definedName name="BANG">#REF!</definedName>
    <definedName name="BANG1">#REF!</definedName>
    <definedName name="BANG2">'LY THUYET_MAU'!$D$100:$E$114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<sst xmlns="http://schemas.openxmlformats.org/spreadsheetml/2006/main" count="880" uniqueCount="481">
  <si>
    <t xml:space="preserve">DANH SÁCH ĐIỂM DANH LỚP HỌC PHẦN </t>
  </si>
  <si>
    <t>Đợt:</t>
  </si>
  <si>
    <t>HK1 (2026 - 2027)</t>
  </si>
  <si>
    <t>Cơ sở:</t>
  </si>
  <si>
    <t>Cơ sở 1 (Thành phố Hồ Chí Minh)</t>
  </si>
  <si>
    <t>Mã lớp học phần:</t>
  </si>
  <si>
    <t>420300353401</t>
  </si>
  <si>
    <t>607880</t>
  </si>
  <si>
    <t>1</t>
  </si>
  <si>
    <t xml:space="preserve">Tên môn học: </t>
  </si>
  <si>
    <t>Thiết kế vi mạch số với HDL (420300353401 - DHTKVM20A)</t>
  </si>
  <si>
    <t>Lớp học</t>
  </si>
  <si>
    <t>DHTKVM20A</t>
  </si>
  <si>
    <t>Nhóm</t>
  </si>
  <si>
    <t>STT</t>
  </si>
  <si>
    <t>Mã sinh viên</t>
  </si>
  <si>
    <t>Họ đệm</t>
  </si>
  <si>
    <t>Tên</t>
  </si>
  <si>
    <t>Giới tính</t>
  </si>
  <si>
    <t>ngày sinh</t>
  </si>
  <si>
    <t>TK1</t>
  </si>
  <si>
    <t>TK2</t>
  </si>
  <si>
    <t>TK3</t>
  </si>
  <si>
    <t>TK4</t>
  </si>
  <si>
    <t>TK5</t>
  </si>
  <si>
    <t>TK6</t>
  </si>
  <si>
    <t>TK7</t>
  </si>
  <si>
    <t>TK8</t>
  </si>
  <si>
    <t>TK9</t>
  </si>
  <si>
    <t>TK10</t>
  </si>
  <si>
    <t>TK11</t>
  </si>
  <si>
    <t>BTN1</t>
  </si>
  <si>
    <t>BTN2</t>
  </si>
  <si>
    <t>BTN3</t>
  </si>
  <si>
    <t>Tổng điểm cộng</t>
  </si>
  <si>
    <t>Tổng điểm trừ</t>
  </si>
  <si>
    <t>TK</t>
  </si>
  <si>
    <t>Điểm TK</t>
  </si>
  <si>
    <t>TL</t>
  </si>
  <si>
    <t>điểm TL</t>
  </si>
  <si>
    <t>GK</t>
  </si>
  <si>
    <t>Điểm GK</t>
  </si>
  <si>
    <t>21130461</t>
  </si>
  <si>
    <t>Nguyễn Văn</t>
  </si>
  <si>
    <t>An</t>
  </si>
  <si>
    <t>Nam</t>
  </si>
  <si>
    <t>24674771</t>
  </si>
  <si>
    <t>Nguyễn Trung</t>
  </si>
  <si>
    <t>Anh</t>
  </si>
  <si>
    <t>23707331</t>
  </si>
  <si>
    <t>Nguyễn Tuấn</t>
  </si>
  <si>
    <t>24645121</t>
  </si>
  <si>
    <t>Trần Hữu</t>
  </si>
  <si>
    <t>24675071</t>
  </si>
  <si>
    <t>Trần Tuấn</t>
  </si>
  <si>
    <t>24630911</t>
  </si>
  <si>
    <t>Trần Thanh</t>
  </si>
  <si>
    <t>Bình</t>
  </si>
  <si>
    <t>+</t>
  </si>
  <si>
    <t>24651151</t>
  </si>
  <si>
    <t>Võ Thanh</t>
  </si>
  <si>
    <t>24651471</t>
  </si>
  <si>
    <t>Lê Quốc</t>
  </si>
  <si>
    <t>Công</t>
  </si>
  <si>
    <t>24635721</t>
  </si>
  <si>
    <t>Bùi Thị Bích</t>
  </si>
  <si>
    <t>Diễm</t>
  </si>
  <si>
    <t>Nữ</t>
  </si>
  <si>
    <t>24662731</t>
  </si>
  <si>
    <t>Hoàng Anh</t>
  </si>
  <si>
    <t>Đức</t>
  </si>
  <si>
    <t>24659271</t>
  </si>
  <si>
    <t>Nguyễn Tiến</t>
  </si>
  <si>
    <t>Dũng</t>
  </si>
  <si>
    <t>21104311</t>
  </si>
  <si>
    <t>Nguyễn Quốc</t>
  </si>
  <si>
    <t>Dương</t>
  </si>
  <si>
    <t>24654881</t>
  </si>
  <si>
    <t>La Vũ</t>
  </si>
  <si>
    <t>Duy</t>
  </si>
  <si>
    <t>24675561</t>
  </si>
  <si>
    <t>Nguyễn Nhựt</t>
  </si>
  <si>
    <t>24644711</t>
  </si>
  <si>
    <t>Trần Đăng</t>
  </si>
  <si>
    <t>24647961</t>
  </si>
  <si>
    <t>Phạm Quỳnh</t>
  </si>
  <si>
    <t>Giao</t>
  </si>
  <si>
    <t>24669491</t>
  </si>
  <si>
    <t>Phạm Hồng</t>
  </si>
  <si>
    <t>Hà</t>
  </si>
  <si>
    <t>24661271</t>
  </si>
  <si>
    <t>Nguyễn Thị Ngọc</t>
  </si>
  <si>
    <t>Hân</t>
  </si>
  <si>
    <t>24708831</t>
  </si>
  <si>
    <t>Dương Thanh</t>
  </si>
  <si>
    <t>Hằng</t>
  </si>
  <si>
    <t>24667621</t>
  </si>
  <si>
    <t>Ngô Quang</t>
  </si>
  <si>
    <t>Hào</t>
  </si>
  <si>
    <t>24702511</t>
  </si>
  <si>
    <t>Tôn Ngọc</t>
  </si>
  <si>
    <t>Hiền</t>
  </si>
  <si>
    <t>24653691</t>
  </si>
  <si>
    <t>Lê Minh</t>
  </si>
  <si>
    <t>Hiếu</t>
  </si>
  <si>
    <t>21106861</t>
  </si>
  <si>
    <t>23734171</t>
  </si>
  <si>
    <t>Ung Gia</t>
  </si>
  <si>
    <t>24680611</t>
  </si>
  <si>
    <t>Hồ Gia</t>
  </si>
  <si>
    <t>Hoài</t>
  </si>
  <si>
    <t>24732961</t>
  </si>
  <si>
    <t>Lê Văn</t>
  </si>
  <si>
    <t>24648541</t>
  </si>
  <si>
    <t>Võ Minh</t>
  </si>
  <si>
    <t>24677651</t>
  </si>
  <si>
    <t>Lê Thanh</t>
  </si>
  <si>
    <t>Hoàng</t>
  </si>
  <si>
    <t>24664851</t>
  </si>
  <si>
    <t>Phan Lê Thái</t>
  </si>
  <si>
    <t>24680011</t>
  </si>
  <si>
    <t>Nguyễn Đình</t>
  </si>
  <si>
    <t>Hùng</t>
  </si>
  <si>
    <t>20043381</t>
  </si>
  <si>
    <t>Nguyễn Ngọc</t>
  </si>
  <si>
    <t>24659941</t>
  </si>
  <si>
    <t>Bùi Vĩnh</t>
  </si>
  <si>
    <t>Hưng</t>
  </si>
  <si>
    <t>24686571</t>
  </si>
  <si>
    <t>Lê Quang</t>
  </si>
  <si>
    <t>Huy</t>
  </si>
  <si>
    <t>24656581</t>
  </si>
  <si>
    <t>Lê Quang Quốc</t>
  </si>
  <si>
    <t>24654531</t>
  </si>
  <si>
    <t>Võ Trương Minh</t>
  </si>
  <si>
    <t>24657751</t>
  </si>
  <si>
    <t>Lưu Đức</t>
  </si>
  <si>
    <t>Khánh</t>
  </si>
  <si>
    <t>24656551</t>
  </si>
  <si>
    <t>Phạm Duy</t>
  </si>
  <si>
    <t>24674891</t>
  </si>
  <si>
    <t>Trần Quốc</t>
  </si>
  <si>
    <t>24673971</t>
  </si>
  <si>
    <t>Huỳnh Tử</t>
  </si>
  <si>
    <t>Khiêm</t>
  </si>
  <si>
    <t>24657691</t>
  </si>
  <si>
    <t>Nguyễn Anh</t>
  </si>
  <si>
    <t>Khoa</t>
  </si>
  <si>
    <t>24670061</t>
  </si>
  <si>
    <t>Nguyễn Đăng</t>
  </si>
  <si>
    <t>24669241</t>
  </si>
  <si>
    <t>Lê Nguyễn Trung</t>
  </si>
  <si>
    <t>Kiên</t>
  </si>
  <si>
    <t>24661311</t>
  </si>
  <si>
    <t>Mai Tuấn</t>
  </si>
  <si>
    <t>Kiệt</t>
  </si>
  <si>
    <t>24639631</t>
  </si>
  <si>
    <t>Trần Thượng Trường</t>
  </si>
  <si>
    <t>Lâm</t>
  </si>
  <si>
    <t>24638941</t>
  </si>
  <si>
    <t>Trần Bão</t>
  </si>
  <si>
    <t>Linh</t>
  </si>
  <si>
    <t>24668771</t>
  </si>
  <si>
    <t>Trần Hoàng</t>
  </si>
  <si>
    <t>Long</t>
  </si>
  <si>
    <t>24637901</t>
  </si>
  <si>
    <t>Lực</t>
  </si>
  <si>
    <t>24635801</t>
  </si>
  <si>
    <t>Lê Khải</t>
  </si>
  <si>
    <t>Minh</t>
  </si>
  <si>
    <t>24673131</t>
  </si>
  <si>
    <t>Lý Xuân</t>
  </si>
  <si>
    <t>24645721</t>
  </si>
  <si>
    <t>Nguyễn Hoàng</t>
  </si>
  <si>
    <t>24683781</t>
  </si>
  <si>
    <t>Lê Ngọc Vân</t>
  </si>
  <si>
    <t>24643421</t>
  </si>
  <si>
    <t>Nguyễn Phạm Hoài</t>
  </si>
  <si>
    <t>21100501</t>
  </si>
  <si>
    <t>Nguyễn Trọng</t>
  </si>
  <si>
    <t>Nghĩa</t>
  </si>
  <si>
    <t>24672091</t>
  </si>
  <si>
    <t>Trương Minh</t>
  </si>
  <si>
    <t>Nhựt</t>
  </si>
  <si>
    <t>22724431</t>
  </si>
  <si>
    <t>Phạm Thanh</t>
  </si>
  <si>
    <t>Phát</t>
  </si>
  <si>
    <t>24638741</t>
  </si>
  <si>
    <t>Đoàn Trần Thanh</t>
  </si>
  <si>
    <t>Phú</t>
  </si>
  <si>
    <t>24673121</t>
  </si>
  <si>
    <t>Tăng Triệu</t>
  </si>
  <si>
    <t>24668831</t>
  </si>
  <si>
    <t>Lê Phan Hoàng</t>
  </si>
  <si>
    <t>Phúc</t>
  </si>
  <si>
    <t>24631311</t>
  </si>
  <si>
    <t>Phan Thị Diễm</t>
  </si>
  <si>
    <t>24636571</t>
  </si>
  <si>
    <t>Trần Huỳnh Bình</t>
  </si>
  <si>
    <t>Phước</t>
  </si>
  <si>
    <t>21125961</t>
  </si>
  <si>
    <t>Hồ Tấn</t>
  </si>
  <si>
    <t>Quyền</t>
  </si>
  <si>
    <t>24658671</t>
  </si>
  <si>
    <t>Ngô Quốc</t>
  </si>
  <si>
    <t>24636771</t>
  </si>
  <si>
    <t>Nguyễn Chí</t>
  </si>
  <si>
    <t>Tài</t>
  </si>
  <si>
    <t>24662201</t>
  </si>
  <si>
    <t>Bùi Văn</t>
  </si>
  <si>
    <t>Tâm</t>
  </si>
  <si>
    <t>24665681</t>
  </si>
  <si>
    <t>Nguyễn Nhật</t>
  </si>
  <si>
    <t>Tân</t>
  </si>
  <si>
    <t>24660001</t>
  </si>
  <si>
    <t>Phạm Quốc</t>
  </si>
  <si>
    <t>Thái</t>
  </si>
  <si>
    <t>24653781</t>
  </si>
  <si>
    <t>Lê Phước</t>
  </si>
  <si>
    <t>Thành</t>
  </si>
  <si>
    <t>24643371</t>
  </si>
  <si>
    <t>Nguyễn Thành Xuân</t>
  </si>
  <si>
    <t>Thạnh</t>
  </si>
  <si>
    <t>24651021</t>
  </si>
  <si>
    <t>Nguyễn Trần Ngọc</t>
  </si>
  <si>
    <t>Thiện</t>
  </si>
  <si>
    <t>21101761</t>
  </si>
  <si>
    <t>Nguyễn Ngô Gia</t>
  </si>
  <si>
    <t>Thịnh</t>
  </si>
  <si>
    <t>24636261</t>
  </si>
  <si>
    <t>24630361</t>
  </si>
  <si>
    <t>Nhâm Quý</t>
  </si>
  <si>
    <t>Thoan</t>
  </si>
  <si>
    <t>24641991</t>
  </si>
  <si>
    <t>Phan Như</t>
  </si>
  <si>
    <t>Thuần</t>
  </si>
  <si>
    <t>24630431</t>
  </si>
  <si>
    <t>Đặng Hồ Nhật</t>
  </si>
  <si>
    <t>Tiến</t>
  </si>
  <si>
    <t>24650271</t>
  </si>
  <si>
    <t>Hà Mạnh</t>
  </si>
  <si>
    <t>24748711</t>
  </si>
  <si>
    <t>Phạm Thái Minh</t>
  </si>
  <si>
    <t>Trí</t>
  </si>
  <si>
    <t>24635941</t>
  </si>
  <si>
    <t>Võ Đăng</t>
  </si>
  <si>
    <t>Trình</t>
  </si>
  <si>
    <t>24748321</t>
  </si>
  <si>
    <t>Vũ Thái</t>
  </si>
  <si>
    <t>24630741</t>
  </si>
  <si>
    <t>Dương Nhật</t>
  </si>
  <si>
    <t>Trung</t>
  </si>
  <si>
    <t>24636891</t>
  </si>
  <si>
    <t>Vũ Quang</t>
  </si>
  <si>
    <t>Lưu ý: số nhóm tối đa là 15</t>
  </si>
  <si>
    <t>chỉ được ghi các ký tự : K: vắng (2-),  P: phép (không bị trừ)       điểm cộng (+)     điểm trừ (-)</t>
  </si>
  <si>
    <t>Tính TL (tiểu luận):  Dùng hàm VLOOKUP tìm số nhóm và bảng điểm tiểu luận</t>
  </si>
  <si>
    <t>Tiểu luận</t>
  </si>
  <si>
    <t>420300353402</t>
  </si>
  <si>
    <t>607887</t>
  </si>
  <si>
    <t>Thiết kế vi mạch số với HDL (420300353402 - DHTKVM20B)</t>
  </si>
  <si>
    <t>DHTKVM20B</t>
  </si>
  <si>
    <t>8/8</t>
  </si>
  <si>
    <t>24729851</t>
  </si>
  <si>
    <t>Nguyễn Ninh Vinh</t>
  </si>
  <si>
    <t>24742991</t>
  </si>
  <si>
    <t>Thạch Đông</t>
  </si>
  <si>
    <t>24699651</t>
  </si>
  <si>
    <t>Lê Thị Bân</t>
  </si>
  <si>
    <t>Bân</t>
  </si>
  <si>
    <t>24697221</t>
  </si>
  <si>
    <t>Mai Quý</t>
  </si>
  <si>
    <t>Bảo</t>
  </si>
  <si>
    <t>21084571</t>
  </si>
  <si>
    <t>Nguyễn Công Chí</t>
  </si>
  <si>
    <t>24725871</t>
  </si>
  <si>
    <t>Nguyễn Thái</t>
  </si>
  <si>
    <t>22697771</t>
  </si>
  <si>
    <t>Phạm Gia</t>
  </si>
  <si>
    <t>24650661</t>
  </si>
  <si>
    <t>Thạch Thái</t>
  </si>
  <si>
    <t>24706831</t>
  </si>
  <si>
    <t>Tô Quốc</t>
  </si>
  <si>
    <t>21048111</t>
  </si>
  <si>
    <t>Trần Nguyễn Công</t>
  </si>
  <si>
    <t>24649141</t>
  </si>
  <si>
    <t>Trương Quân</t>
  </si>
  <si>
    <t>24687311</t>
  </si>
  <si>
    <t>Châu</t>
  </si>
  <si>
    <t>24703641</t>
  </si>
  <si>
    <t>Bùi Thành</t>
  </si>
  <si>
    <t>Danh</t>
  </si>
  <si>
    <t>k</t>
  </si>
  <si>
    <t>24730101</t>
  </si>
  <si>
    <t>Tạ Quốc</t>
  </si>
  <si>
    <t>Đạt</t>
  </si>
  <si>
    <t>23663321</t>
  </si>
  <si>
    <t>Trương Quang</t>
  </si>
  <si>
    <t>24702341</t>
  </si>
  <si>
    <t>Nguyễn Việt</t>
  </si>
  <si>
    <t>24713521</t>
  </si>
  <si>
    <t>Võ Nguyễn Bảo</t>
  </si>
  <si>
    <t>24719331</t>
  </si>
  <si>
    <t>Lương Trường</t>
  </si>
  <si>
    <t>Giang</t>
  </si>
  <si>
    <t>24717271</t>
  </si>
  <si>
    <t>Nguyễn Thanh</t>
  </si>
  <si>
    <t>Hải</t>
  </si>
  <si>
    <t>24701571</t>
  </si>
  <si>
    <t>21035461</t>
  </si>
  <si>
    <t>Huỳnh Phú</t>
  </si>
  <si>
    <t>21014491</t>
  </si>
  <si>
    <t>Nguyễn Thanh</t>
  </si>
  <si>
    <t>21051991</t>
  </si>
  <si>
    <t>Nguyễn Phong</t>
  </si>
  <si>
    <t>Hiệp</t>
  </si>
  <si>
    <t>21037291</t>
  </si>
  <si>
    <t>Võ Việt</t>
  </si>
  <si>
    <t>24714241</t>
  </si>
  <si>
    <t>Nguyễn Huy</t>
  </si>
  <si>
    <t>Hoàn</t>
  </si>
  <si>
    <t>24694271</t>
  </si>
  <si>
    <t>21046701</t>
  </si>
  <si>
    <t>Nguyễn Phạm Đức</t>
  </si>
  <si>
    <t>24685491</t>
  </si>
  <si>
    <t>22648301</t>
  </si>
  <si>
    <t>Nguyễn Thị Minh</t>
  </si>
  <si>
    <t>Khai</t>
  </si>
  <si>
    <t>21076071</t>
  </si>
  <si>
    <t>Khãi</t>
  </si>
  <si>
    <t>24710211</t>
  </si>
  <si>
    <t>Khang</t>
  </si>
  <si>
    <t>24722301</t>
  </si>
  <si>
    <t>Mã Hồng</t>
  </si>
  <si>
    <t>Khanh</t>
  </si>
  <si>
    <t>21096031</t>
  </si>
  <si>
    <t>Trần Anh</t>
  </si>
  <si>
    <t>p</t>
  </si>
  <si>
    <t>24727221</t>
  </si>
  <si>
    <t>24679941</t>
  </si>
  <si>
    <t>Thạch Trung</t>
  </si>
  <si>
    <t>Lam</t>
  </si>
  <si>
    <t>24746291</t>
  </si>
  <si>
    <t>Nguyễn Đỗ Thành</t>
  </si>
  <si>
    <t>Lộc</t>
  </si>
  <si>
    <t>24691511</t>
  </si>
  <si>
    <t>Phạm Phước</t>
  </si>
  <si>
    <t>20026231</t>
  </si>
  <si>
    <t>Lê Trần Thành</t>
  </si>
  <si>
    <t>24711811</t>
  </si>
  <si>
    <t>Trương Lê Hoàng</t>
  </si>
  <si>
    <t>21123641</t>
  </si>
  <si>
    <t>21030371</t>
  </si>
  <si>
    <t>Lữ Hoàng</t>
  </si>
  <si>
    <t>24725691</t>
  </si>
  <si>
    <t>24710351</t>
  </si>
  <si>
    <t>Lư Hớn</t>
  </si>
  <si>
    <t>Nghiệp</t>
  </si>
  <si>
    <t>24734241</t>
  </si>
  <si>
    <t>Nguyên</t>
  </si>
  <si>
    <t>24734401</t>
  </si>
  <si>
    <t>Huỳnh Tấn</t>
  </si>
  <si>
    <t>Nhã</t>
  </si>
  <si>
    <t>24686081</t>
  </si>
  <si>
    <t>Huỳnh Châu Nhuận</t>
  </si>
  <si>
    <t>24680381</t>
  </si>
  <si>
    <t>Trần Minh</t>
  </si>
  <si>
    <t>24712831</t>
  </si>
  <si>
    <t>Võ Thái</t>
  </si>
  <si>
    <t>Phi</t>
  </si>
  <si>
    <t>24722151</t>
  </si>
  <si>
    <t>Hoàng Tuấn</t>
  </si>
  <si>
    <t>Phong</t>
  </si>
  <si>
    <t>21101601</t>
  </si>
  <si>
    <t>Trần Văn</t>
  </si>
  <si>
    <t>24697091</t>
  </si>
  <si>
    <t>Nguyễn Thiên</t>
  </si>
  <si>
    <t>24706561</t>
  </si>
  <si>
    <t>24729331</t>
  </si>
  <si>
    <t>Võ Trường</t>
  </si>
  <si>
    <t>24685531</t>
  </si>
  <si>
    <t>Lê Hồng</t>
  </si>
  <si>
    <t>Quân</t>
  </si>
  <si>
    <t>24710751</t>
  </si>
  <si>
    <t>Quang</t>
  </si>
  <si>
    <t>24684531</t>
  </si>
  <si>
    <t>Võ Thị Xuân</t>
  </si>
  <si>
    <t>Quỳnh</t>
  </si>
  <si>
    <t>21046941</t>
  </si>
  <si>
    <t>Sâm</t>
  </si>
  <si>
    <t>24732101</t>
  </si>
  <si>
    <t>Đặng Thanh</t>
  </si>
  <si>
    <t>Sang</t>
  </si>
  <si>
    <t>24707661</t>
  </si>
  <si>
    <t>Mai Phước</t>
  </si>
  <si>
    <t>21119331</t>
  </si>
  <si>
    <t>Trịnh Minh</t>
  </si>
  <si>
    <t>24706801</t>
  </si>
  <si>
    <t>Tạ Thanh</t>
  </si>
  <si>
    <t>24713031</t>
  </si>
  <si>
    <t>Thắng</t>
  </si>
  <si>
    <t>24692831</t>
  </si>
  <si>
    <t>24735121</t>
  </si>
  <si>
    <t>Lê Nguyễn Gia</t>
  </si>
  <si>
    <t>Tín</t>
  </si>
  <si>
    <t>24651101</t>
  </si>
  <si>
    <t>Hoàng Hương</t>
  </si>
  <si>
    <t>Trà</t>
  </si>
  <si>
    <t>24708001</t>
  </si>
  <si>
    <t>Triết</t>
  </si>
  <si>
    <t>22722991</t>
  </si>
  <si>
    <t>Trần Đình</t>
  </si>
  <si>
    <t>Trọng</t>
  </si>
  <si>
    <t>24745711</t>
  </si>
  <si>
    <t>Lý Quang</t>
  </si>
  <si>
    <t>24668721</t>
  </si>
  <si>
    <t>Nguyễn Đức</t>
  </si>
  <si>
    <t>24666211</t>
  </si>
  <si>
    <t>Phạm Quang</t>
  </si>
  <si>
    <t>24675271</t>
  </si>
  <si>
    <t>Võ Nguyễn Thanh</t>
  </si>
  <si>
    <t>Tú</t>
  </si>
  <si>
    <t>24747451</t>
  </si>
  <si>
    <t>Võ Văn</t>
  </si>
  <si>
    <t>Tuấn</t>
  </si>
  <si>
    <t>24737521</t>
  </si>
  <si>
    <t>Tùng</t>
  </si>
  <si>
    <t>21008871</t>
  </si>
  <si>
    <t>Cao Lê Tấn</t>
  </si>
  <si>
    <t>Vạn</t>
  </si>
  <si>
    <t>24709011</t>
  </si>
  <si>
    <t>Đoàn Lê Phúc</t>
  </si>
  <si>
    <t>Vinh</t>
  </si>
  <si>
    <t>24743821</t>
  </si>
  <si>
    <t>Dương Lê Anh</t>
  </si>
  <si>
    <t>Vũ</t>
  </si>
  <si>
    <t>23659761</t>
  </si>
  <si>
    <t>24693481</t>
  </si>
  <si>
    <t>24660831</t>
  </si>
  <si>
    <t>Phạm Ngọc Yến</t>
  </si>
  <si>
    <t>Vy</t>
  </si>
  <si>
    <t>24697281</t>
  </si>
  <si>
    <t>Phan Chí</t>
  </si>
  <si>
    <t>Vỹ</t>
  </si>
  <si>
    <t>Lớp học:</t>
  </si>
  <si>
    <t>TK (Thường kỳ ):  được tính theo dấu cộng (+) khi sv trả lời đúng</t>
  </si>
  <si>
    <t>Điểm TK: bằng 7.0 + tổng điểm cộng - tổng điểm trừ</t>
  </si>
  <si>
    <t>BTN (bài tập nhóm ):  được tính theo dấu cộng (+) cho cả nhóm khi nhóm làm bài đúng</t>
  </si>
  <si>
    <t>TL (tiểu luận) : tính theo thang điểm 10, được lấy điểm chung cho các SV trong cùng 1 nhóm và có tham gia làm bài</t>
  </si>
  <si>
    <t xml:space="preserve">Nhóm: </t>
  </si>
  <si>
    <t>ngày</t>
  </si>
  <si>
    <t>BT1</t>
  </si>
  <si>
    <t>ĐBT1</t>
  </si>
  <si>
    <t>BT2</t>
  </si>
  <si>
    <t>ĐBT2</t>
  </si>
  <si>
    <t>BT3</t>
  </si>
  <si>
    <t>ĐBT3</t>
  </si>
  <si>
    <t>BT4</t>
  </si>
  <si>
    <t>ĐBT4</t>
  </si>
  <si>
    <t>BT5</t>
  </si>
  <si>
    <t>ĐBT5</t>
  </si>
  <si>
    <t>BT6</t>
  </si>
  <si>
    <t>ĐBT6</t>
  </si>
  <si>
    <t>BT7</t>
  </si>
  <si>
    <t>ĐBT7</t>
  </si>
  <si>
    <t>BT8</t>
  </si>
  <si>
    <t>ĐBT8</t>
  </si>
  <si>
    <t>BT9</t>
  </si>
  <si>
    <t>ĐBT9</t>
  </si>
  <si>
    <t>BT10</t>
  </si>
  <si>
    <t>ĐBT10</t>
  </si>
  <si>
    <t>BT11</t>
  </si>
  <si>
    <t>ĐBT11</t>
  </si>
  <si>
    <t>Điểm Thi TH</t>
  </si>
  <si>
    <t>ĐBT (điểm bài tập ):  điểm làm bài theo tuần, tính chung cho cả nhóm cho các SV đi học</t>
  </si>
  <si>
    <t>Điểm TK: bằng trung bình cộng của các cột  ĐBT</t>
  </si>
  <si>
    <t>Điểm thi TH:   Điểm thi cuối kỳ</t>
  </si>
  <si>
    <t>Nhập điểm 3 cột: điểm TK- hệ số 2;   Điểm thi TH - hệ số 1</t>
  </si>
  <si>
    <t>Lưu ý: chỉ được ghi điểm , K, P vào các cột BT --&gt; điểm bài tập (ĐBT) sẽ được tính tự động</t>
  </si>
  <si>
    <t>K : vắng, 0 đ buổi vắng</t>
  </si>
  <si>
    <t>P:  Phép, 5đ buổi vắng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</si>
</sst>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;[Red]0"/>
    <numFmt numFmtId="179" formatCode="dd/mm/yyyy"/>
  </numFmts>
  <fonts count="3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4"/>
      <name val="Times New Roman"/>
      <charset val="134"/>
    </font>
    <font>
      <b/>
      <sz val="10"/>
      <name val="Times New Roman"/>
      <charset val="134"/>
    </font>
    <font>
      <sz val="14"/>
      <name val="Times New Roman"/>
      <charset val="134"/>
    </font>
    <font>
      <sz val="14"/>
      <color theme="0"/>
      <name val="Times New Roman"/>
      <charset val="134"/>
    </font>
    <font>
      <b/>
      <sz val="14"/>
      <color theme="1"/>
      <name val="Calibri"/>
      <charset val="134"/>
      <scheme val="minor"/>
    </font>
    <font>
      <sz val="14"/>
      <color rgb="FFFF0000"/>
      <name val="Calibri"/>
      <charset val="134"/>
      <scheme val="minor"/>
    </font>
    <font>
      <sz val="10"/>
      <name val="Arial"/>
      <charset val="134"/>
    </font>
    <font>
      <b/>
      <sz val="10"/>
      <name val="Tahoma"/>
      <charset val="134"/>
    </font>
    <font>
      <b/>
      <sz val="16"/>
      <name val="Arial"/>
      <charset val="134"/>
    </font>
    <font>
      <b/>
      <sz val="10"/>
      <color theme="0"/>
      <name val="Tahoma"/>
      <charset val="134"/>
    </font>
    <font>
      <b/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4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6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 applyProtection="1">
      <alignment horizontal="left" vertical="center"/>
    </xf>
    <xf numFmtId="49" fontId="4" fillId="0" borderId="0" xfId="0" applyNumberFormat="1" applyFont="1" applyAlignment="1" applyProtection="1">
      <alignment horizontal="left" vertical="center"/>
    </xf>
    <xf numFmtId="49" fontId="5" fillId="0" borderId="0" xfId="0" applyNumberFormat="1" applyFont="1" applyAlignment="1" applyProtection="1">
      <alignment horizontal="left" vertical="center"/>
    </xf>
    <xf numFmtId="49" fontId="5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Alignment="1" applyProtection="1">
      <alignment horizontal="left" vertical="center"/>
    </xf>
    <xf numFmtId="49" fontId="3" fillId="0" borderId="0" xfId="0" applyNumberFormat="1" applyFont="1" applyAlignment="1" applyProtection="1">
      <alignment horizontal="left" vertical="center"/>
    </xf>
    <xf numFmtId="0" fontId="7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8" fillId="0" borderId="0" xfId="0" applyFont="1"/>
    <xf numFmtId="0" fontId="8" fillId="5" borderId="0" xfId="0" applyFont="1" applyFill="1" applyBorder="1"/>
    <xf numFmtId="0" fontId="1" fillId="5" borderId="0" xfId="0" applyFont="1" applyFill="1" applyBorder="1"/>
    <xf numFmtId="0" fontId="7" fillId="5" borderId="0" xfId="0" applyFont="1" applyFill="1" applyBorder="1"/>
    <xf numFmtId="0" fontId="1" fillId="5" borderId="0" xfId="0" applyFont="1" applyFill="1" applyBorder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/>
    <xf numFmtId="0" fontId="1" fillId="0" borderId="0" xfId="0" applyFont="1" applyFill="1" applyBorder="1"/>
    <xf numFmtId="0" fontId="1" fillId="0" borderId="0" xfId="0" applyFont="1" applyFill="1"/>
    <xf numFmtId="0" fontId="1" fillId="0" borderId="0" xfId="0" applyFont="1" applyBorder="1"/>
    <xf numFmtId="0" fontId="7" fillId="2" borderId="1" xfId="0" applyFont="1" applyFill="1" applyBorder="1"/>
    <xf numFmtId="0" fontId="7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0" borderId="0" xfId="0" applyFont="1" applyAlignment="1">
      <alignment horizontal="center"/>
    </xf>
    <xf numFmtId="49" fontId="6" fillId="0" borderId="0" xfId="0" applyNumberFormat="1" applyFont="1" applyAlignment="1" applyProtection="1">
      <alignment horizontal="center" vertical="center"/>
    </xf>
    <xf numFmtId="49" fontId="5" fillId="0" borderId="0" xfId="0" applyNumberFormat="1" applyFont="1" applyAlignment="1" applyProtection="1">
      <alignment horizontal="center" vertical="center"/>
    </xf>
    <xf numFmtId="0" fontId="7" fillId="9" borderId="1" xfId="0" applyFont="1" applyFill="1" applyBorder="1" applyAlignment="1">
      <alignment horizontal="center"/>
    </xf>
    <xf numFmtId="178" fontId="9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78" fontId="9" fillId="0" borderId="2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" fillId="5" borderId="1" xfId="0" applyFont="1" applyFill="1" applyBorder="1"/>
    <xf numFmtId="0" fontId="7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78" fontId="10" fillId="0" borderId="0" xfId="0" applyNumberFormat="1" applyFont="1" applyAlignment="1" applyProtection="1">
      <alignment horizontal="left" vertical="center"/>
    </xf>
    <xf numFmtId="49" fontId="11" fillId="0" borderId="0" xfId="0" applyNumberFormat="1" applyFont="1" applyFill="1" applyAlignment="1">
      <alignment horizontal="center" vertical="center" wrapText="1"/>
    </xf>
    <xf numFmtId="49" fontId="10" fillId="0" borderId="0" xfId="0" applyNumberFormat="1" applyFont="1" applyAlignment="1" applyProtection="1">
      <alignment horizontal="left" vertical="center"/>
    </xf>
    <xf numFmtId="49" fontId="11" fillId="0" borderId="0" xfId="0" applyNumberFormat="1" applyFont="1" applyFill="1" applyAlignment="1">
      <alignment horizontal="left" vertical="center" wrapText="1"/>
    </xf>
    <xf numFmtId="49" fontId="12" fillId="0" borderId="0" xfId="0" applyNumberFormat="1" applyFont="1" applyAlignment="1" applyProtection="1">
      <alignment horizontal="left" vertical="center"/>
    </xf>
    <xf numFmtId="49" fontId="11" fillId="0" borderId="0" xfId="0" applyNumberFormat="1" applyFont="1" applyFill="1" applyAlignment="1">
      <alignment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178" fontId="11" fillId="0" borderId="0" xfId="0" applyNumberFormat="1" applyFont="1" applyFill="1" applyAlignment="1">
      <alignment horizontal="center" vertical="center" wrapText="1"/>
    </xf>
    <xf numFmtId="49" fontId="13" fillId="0" borderId="0" xfId="0" applyNumberFormat="1" applyFont="1" applyFill="1" applyBorder="1" applyAlignment="1">
      <alignment vertical="center" wrapText="1"/>
    </xf>
    <xf numFmtId="0" fontId="1" fillId="13" borderId="1" xfId="0" applyFont="1" applyFill="1" applyBorder="1"/>
    <xf numFmtId="49" fontId="10" fillId="0" borderId="0" xfId="0" applyNumberFormat="1" applyFont="1" applyAlignment="1" applyProtection="1" quotePrefix="1">
      <alignment horizontal="left" vertical="center"/>
    </xf>
    <xf numFmtId="49" fontId="9" fillId="0" borderId="1" xfId="0" applyNumberFormat="1" applyFont="1" applyFill="1" applyBorder="1" applyAlignment="1" quotePrefix="1">
      <alignment horizontal="center" vertical="center" wrapText="1"/>
    </xf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114300</xdr:colOff>
      <xdr:row>0</xdr:row>
      <xdr:rowOff>190500</xdr:rowOff>
    </xdr:from>
    <xdr:to>
      <xdr:col>18</xdr:col>
      <xdr:colOff>360998</xdr:colOff>
      <xdr:row>4</xdr:row>
      <xdr:rowOff>212813</xdr:rowOff>
    </xdr:to>
    <xdr:sp>
      <xdr:nvSpPr>
        <xdr:cNvPr id="2" name="TextBox 1"/>
        <xdr:cNvSpPr txBox="1"/>
      </xdr:nvSpPr>
      <xdr:spPr>
        <a:xfrm>
          <a:off x="7136130" y="190500"/>
          <a:ext cx="4100830" cy="974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CỘNG HÒA XÃ HỘI CHỦ NGHĨA VIỆT NAM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Độc lập - Tự do - Hạnh phúc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----------------------------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114300</xdr:colOff>
      <xdr:row>0</xdr:row>
      <xdr:rowOff>190500</xdr:rowOff>
    </xdr:from>
    <xdr:to>
      <xdr:col>18</xdr:col>
      <xdr:colOff>360998</xdr:colOff>
      <xdr:row>4</xdr:row>
      <xdr:rowOff>212813</xdr:rowOff>
    </xdr:to>
    <xdr:sp>
      <xdr:nvSpPr>
        <xdr:cNvPr id="2" name="TextBox 1"/>
        <xdr:cNvSpPr txBox="1"/>
      </xdr:nvSpPr>
      <xdr:spPr>
        <a:xfrm>
          <a:off x="7136130" y="190500"/>
          <a:ext cx="4100830" cy="974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CỘNG HÒA XÃ HỘI CHỦ NGHĨA VIỆT NAM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Độc lập - Tự do - Hạnh phúc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----------------------------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114300</xdr:colOff>
      <xdr:row>0</xdr:row>
      <xdr:rowOff>190500</xdr:rowOff>
    </xdr:from>
    <xdr:to>
      <xdr:col>18</xdr:col>
      <xdr:colOff>360998</xdr:colOff>
      <xdr:row>4</xdr:row>
      <xdr:rowOff>212813</xdr:rowOff>
    </xdr:to>
    <xdr:sp>
      <xdr:nvSpPr>
        <xdr:cNvPr id="2" name="TextBox 1"/>
        <xdr:cNvSpPr txBox="1"/>
      </xdr:nvSpPr>
      <xdr:spPr>
        <a:xfrm>
          <a:off x="7136130" y="190500"/>
          <a:ext cx="4100830" cy="974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CỘNG HÒA XÃ HỘI CHỦ NGHĨA VIỆT NAM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Độc lập - Tự do - Hạnh phúc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----------------------------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579120</xdr:colOff>
      <xdr:row>0</xdr:row>
      <xdr:rowOff>106680</xdr:rowOff>
    </xdr:from>
    <xdr:to>
      <xdr:col>28</xdr:col>
      <xdr:colOff>0</xdr:colOff>
      <xdr:row>3</xdr:row>
      <xdr:rowOff>128993</xdr:rowOff>
    </xdr:to>
    <xdr:sp>
      <xdr:nvSpPr>
        <xdr:cNvPr id="2" name="TextBox 1"/>
        <xdr:cNvSpPr txBox="1"/>
      </xdr:nvSpPr>
      <xdr:spPr>
        <a:xfrm>
          <a:off x="7155180" y="106680"/>
          <a:ext cx="10375900" cy="736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CỘNG HÒA XÃ HỘI CHỦ NGHĨA VIỆT NAM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Độc lập - Tự do - Hạnh phúc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----------------------------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C114"/>
  <sheetViews>
    <sheetView tabSelected="1" zoomScale="110" zoomScaleNormal="110" topLeftCell="A32" workbookViewId="0">
      <selection activeCell="H44" sqref="H44"/>
    </sheetView>
  </sheetViews>
  <sheetFormatPr defaultColWidth="9" defaultRowHeight="18.75"/>
  <cols>
    <col min="1" max="1" width="5.21904761904762" style="1" customWidth="1"/>
    <col min="2" max="2" width="18.1047619047619" style="1" customWidth="1"/>
    <col min="3" max="3" width="28.7809523809524" style="1" customWidth="1"/>
    <col min="4" max="4" width="11.6666666666667" style="1" customWidth="1"/>
    <col min="5" max="5" width="12.1047619047619" style="1" customWidth="1"/>
    <col min="6" max="6" width="16.552380952381" style="1" customWidth="1"/>
    <col min="7" max="7" width="7.1047619047619" style="27" customWidth="1"/>
    <col min="8" max="18" width="5.78095238095238" style="1" customWidth="1"/>
    <col min="19" max="21" width="6.78095238095238" style="1" customWidth="1"/>
    <col min="22" max="23" width="17.7809523809524" style="1" customWidth="1"/>
    <col min="24" max="25" width="9.78095238095238" style="1" customWidth="1"/>
    <col min="26" max="26" width="9.78095238095238" style="27" customWidth="1"/>
    <col min="27" max="27" width="9.78095238095238" style="1" customWidth="1"/>
    <col min="28" max="28" width="9.78095238095238" style="27" customWidth="1"/>
    <col min="29" max="29" width="10.6666666666667" style="1" customWidth="1"/>
    <col min="30" max="16384" width="8.88571428571429" style="1"/>
  </cols>
  <sheetData>
    <row r="6" ht="20.25" spans="4:24">
      <c r="D6" s="2" t="s">
        <v>0</v>
      </c>
      <c r="X6" s="16"/>
    </row>
    <row r="7" ht="20.25" spans="3:24">
      <c r="C7" s="47" t="s">
        <v>1</v>
      </c>
      <c r="D7" s="48"/>
      <c r="E7" s="57" t="s">
        <v>2</v>
      </c>
      <c r="F7" s="50"/>
      <c r="G7" s="48"/>
      <c r="H7" s="48"/>
      <c r="I7" s="48"/>
      <c r="J7" s="54"/>
      <c r="X7" s="16"/>
    </row>
    <row r="8" ht="20.25" spans="3:24">
      <c r="C8" s="47" t="s">
        <v>3</v>
      </c>
      <c r="D8" s="48"/>
      <c r="E8" s="57" t="s">
        <v>4</v>
      </c>
      <c r="F8" s="50"/>
      <c r="G8" s="48"/>
      <c r="H8" s="48"/>
      <c r="I8" s="48"/>
      <c r="J8" s="54"/>
      <c r="X8" s="16"/>
    </row>
    <row r="9" ht="20.25" spans="3:24">
      <c r="C9" s="47" t="s">
        <v>5</v>
      </c>
      <c r="D9" s="48"/>
      <c r="E9" s="57" t="s">
        <v>6</v>
      </c>
      <c r="F9" s="51" t="s">
        <v>7</v>
      </c>
      <c r="G9" s="51" t="s">
        <v>8</v>
      </c>
      <c r="H9" s="48"/>
      <c r="I9" s="48"/>
      <c r="J9" s="54"/>
      <c r="X9" s="16"/>
    </row>
    <row r="10" ht="20.25" spans="3:24">
      <c r="C10" s="47" t="s">
        <v>9</v>
      </c>
      <c r="D10" s="48"/>
      <c r="E10" s="57" t="s">
        <v>10</v>
      </c>
      <c r="F10" s="50"/>
      <c r="G10" s="48"/>
      <c r="H10" s="48"/>
      <c r="I10" s="48"/>
      <c r="J10" s="54"/>
      <c r="X10" s="16"/>
    </row>
    <row r="11" ht="20.25" spans="3:24">
      <c r="C11" s="47" t="s">
        <v>11</v>
      </c>
      <c r="D11" s="52"/>
      <c r="E11" s="57" t="s">
        <v>12</v>
      </c>
      <c r="F11" s="49" t="s">
        <v>13</v>
      </c>
      <c r="G11" s="49"/>
      <c r="H11" s="52"/>
      <c r="I11" s="55"/>
      <c r="J11" s="55"/>
      <c r="X11" s="16"/>
    </row>
    <row r="12" spans="3:24">
      <c r="C12" s="3"/>
      <c r="E12" s="5"/>
      <c r="F12" s="5"/>
      <c r="G12" s="29"/>
      <c r="J12" s="9"/>
      <c r="X12" s="16"/>
    </row>
    <row r="13" spans="1:29">
      <c r="A13" s="10" t="s">
        <v>14</v>
      </c>
      <c r="B13" s="10" t="s">
        <v>15</v>
      </c>
      <c r="C13" s="10" t="s">
        <v>16</v>
      </c>
      <c r="D13" s="10" t="s">
        <v>17</v>
      </c>
      <c r="E13" s="30" t="s">
        <v>18</v>
      </c>
      <c r="F13" s="30" t="s">
        <v>19</v>
      </c>
      <c r="G13" s="30" t="s">
        <v>13</v>
      </c>
      <c r="H13" s="30" t="s">
        <v>20</v>
      </c>
      <c r="I13" s="30" t="s">
        <v>21</v>
      </c>
      <c r="J13" s="30" t="s">
        <v>22</v>
      </c>
      <c r="K13" s="30" t="s">
        <v>23</v>
      </c>
      <c r="L13" s="30" t="s">
        <v>24</v>
      </c>
      <c r="M13" s="30" t="s">
        <v>25</v>
      </c>
      <c r="N13" s="30" t="s">
        <v>26</v>
      </c>
      <c r="O13" s="30" t="s">
        <v>27</v>
      </c>
      <c r="P13" s="30" t="s">
        <v>28</v>
      </c>
      <c r="Q13" s="30" t="s">
        <v>29</v>
      </c>
      <c r="R13" s="30" t="s">
        <v>30</v>
      </c>
      <c r="S13" s="30" t="s">
        <v>31</v>
      </c>
      <c r="T13" s="30" t="s">
        <v>32</v>
      </c>
      <c r="U13" s="30" t="s">
        <v>33</v>
      </c>
      <c r="V13" s="30" t="s">
        <v>34</v>
      </c>
      <c r="W13" s="30" t="s">
        <v>35</v>
      </c>
      <c r="X13" s="37" t="s">
        <v>36</v>
      </c>
      <c r="Y13" s="39" t="s">
        <v>37</v>
      </c>
      <c r="Z13" s="30" t="s">
        <v>38</v>
      </c>
      <c r="AA13" s="39" t="s">
        <v>39</v>
      </c>
      <c r="AB13" s="30" t="s">
        <v>40</v>
      </c>
      <c r="AC13" s="39" t="s">
        <v>41</v>
      </c>
    </row>
    <row r="14" spans="1:29">
      <c r="A14" s="31">
        <v>1</v>
      </c>
      <c r="B14" s="58" t="s">
        <v>42</v>
      </c>
      <c r="C14" s="33" t="s">
        <v>43</v>
      </c>
      <c r="D14" s="33" t="s">
        <v>44</v>
      </c>
      <c r="E14" s="32" t="s">
        <v>45</v>
      </c>
      <c r="F14" s="53">
        <v>37896</v>
      </c>
      <c r="G14" s="34"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/>
      <c r="T14" s="12"/>
      <c r="U14" s="12"/>
      <c r="V14" s="11">
        <f>COUNTIF(H14:U14,"+")</f>
        <v>0</v>
      </c>
      <c r="W14" s="11">
        <f>COUNTIF(H14:U14,"-")</f>
        <v>0</v>
      </c>
      <c r="X14" s="38">
        <f>7+V14-W14</f>
        <v>7</v>
      </c>
      <c r="Y14" s="40">
        <f>IF(X14&gt;10,10,X14)</f>
        <v>7</v>
      </c>
      <c r="Z14" s="38">
        <f t="shared" ref="Z14:Z77" si="0">VLOOKUP(G14,BANG2,2,0)</f>
        <v>0</v>
      </c>
      <c r="AA14" s="41">
        <f>IF(Z14&gt;10,10,Z14)</f>
        <v>0</v>
      </c>
      <c r="AB14" s="38"/>
      <c r="AC14" s="42">
        <f>IF(AB14&gt;10,10,AB14)</f>
        <v>0</v>
      </c>
    </row>
    <row r="15" spans="1:29">
      <c r="A15" s="31">
        <v>2</v>
      </c>
      <c r="B15" s="58" t="s">
        <v>46</v>
      </c>
      <c r="C15" s="33" t="s">
        <v>47</v>
      </c>
      <c r="D15" s="33" t="s">
        <v>48</v>
      </c>
      <c r="E15" s="32" t="s">
        <v>45</v>
      </c>
      <c r="F15" s="53">
        <v>39064</v>
      </c>
      <c r="G15" s="34">
        <v>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/>
      <c r="T15" s="12"/>
      <c r="U15" s="12"/>
      <c r="V15" s="11">
        <f t="shared" ref="V15:V78" si="1">COUNTIF(H15:U15,"+")</f>
        <v>0</v>
      </c>
      <c r="W15" s="11">
        <f t="shared" ref="W15:W78" si="2">COUNTIF(H15:U15,"-")</f>
        <v>0</v>
      </c>
      <c r="X15" s="38">
        <f t="shared" ref="X15:X78" si="3">7+V15-W15</f>
        <v>7</v>
      </c>
      <c r="Y15" s="40">
        <f t="shared" ref="Y15:Y78" si="4">IF(X15&gt;10,10,X15)</f>
        <v>7</v>
      </c>
      <c r="Z15" s="38">
        <f t="shared" si="0"/>
        <v>0</v>
      </c>
      <c r="AA15" s="41">
        <f t="shared" ref="AA15:AA78" si="5">IF(Z15&gt;10,10,Z15)</f>
        <v>0</v>
      </c>
      <c r="AB15" s="38"/>
      <c r="AC15" s="42">
        <f t="shared" ref="AC15:AC78" si="6">IF(AB15&gt;10,10,AB15)</f>
        <v>0</v>
      </c>
    </row>
    <row r="16" spans="1:29">
      <c r="A16" s="31">
        <v>3</v>
      </c>
      <c r="B16" s="58" t="s">
        <v>49</v>
      </c>
      <c r="C16" s="33" t="s">
        <v>50</v>
      </c>
      <c r="D16" s="33" t="s">
        <v>48</v>
      </c>
      <c r="E16" s="32" t="s">
        <v>45</v>
      </c>
      <c r="F16" s="53">
        <v>38465</v>
      </c>
      <c r="G16" s="34">
        <v>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/>
      <c r="T16" s="12"/>
      <c r="U16" s="12"/>
      <c r="V16" s="11">
        <f t="shared" si="1"/>
        <v>0</v>
      </c>
      <c r="W16" s="11">
        <f t="shared" si="2"/>
        <v>0</v>
      </c>
      <c r="X16" s="38">
        <f t="shared" si="3"/>
        <v>7</v>
      </c>
      <c r="Y16" s="40">
        <f t="shared" si="4"/>
        <v>7</v>
      </c>
      <c r="Z16" s="38">
        <f t="shared" si="0"/>
        <v>0</v>
      </c>
      <c r="AA16" s="41">
        <f t="shared" si="5"/>
        <v>0</v>
      </c>
      <c r="AB16" s="38"/>
      <c r="AC16" s="42">
        <f t="shared" si="6"/>
        <v>0</v>
      </c>
    </row>
    <row r="17" spans="1:29">
      <c r="A17" s="31">
        <v>4</v>
      </c>
      <c r="B17" s="58" t="s">
        <v>51</v>
      </c>
      <c r="C17" s="33" t="s">
        <v>52</v>
      </c>
      <c r="D17" s="33" t="s">
        <v>48</v>
      </c>
      <c r="E17" s="32" t="s">
        <v>45</v>
      </c>
      <c r="F17" s="53">
        <v>38967</v>
      </c>
      <c r="G17" s="34">
        <v>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1">
        <f t="shared" si="1"/>
        <v>0</v>
      </c>
      <c r="W17" s="11">
        <f t="shared" si="2"/>
        <v>0</v>
      </c>
      <c r="X17" s="38">
        <f t="shared" si="3"/>
        <v>7</v>
      </c>
      <c r="Y17" s="40">
        <f t="shared" si="4"/>
        <v>7</v>
      </c>
      <c r="Z17" s="38">
        <f t="shared" si="0"/>
        <v>0</v>
      </c>
      <c r="AA17" s="41">
        <f t="shared" si="5"/>
        <v>0</v>
      </c>
      <c r="AB17" s="38"/>
      <c r="AC17" s="42">
        <f t="shared" si="6"/>
        <v>0</v>
      </c>
    </row>
    <row r="18" spans="1:29">
      <c r="A18" s="31">
        <v>5</v>
      </c>
      <c r="B18" s="58" t="s">
        <v>53</v>
      </c>
      <c r="C18" s="33" t="s">
        <v>54</v>
      </c>
      <c r="D18" s="33" t="s">
        <v>48</v>
      </c>
      <c r="E18" s="32" t="s">
        <v>45</v>
      </c>
      <c r="F18" s="53">
        <v>38812</v>
      </c>
      <c r="G18" s="34">
        <v>1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2"/>
      <c r="T18" s="12"/>
      <c r="U18" s="12"/>
      <c r="V18" s="11">
        <f t="shared" si="1"/>
        <v>0</v>
      </c>
      <c r="W18" s="11">
        <f t="shared" si="2"/>
        <v>0</v>
      </c>
      <c r="X18" s="38">
        <f t="shared" si="3"/>
        <v>7</v>
      </c>
      <c r="Y18" s="40">
        <f t="shared" si="4"/>
        <v>7</v>
      </c>
      <c r="Z18" s="38">
        <f t="shared" si="0"/>
        <v>0</v>
      </c>
      <c r="AA18" s="41">
        <f t="shared" si="5"/>
        <v>0</v>
      </c>
      <c r="AB18" s="38"/>
      <c r="AC18" s="42">
        <f t="shared" si="6"/>
        <v>0</v>
      </c>
    </row>
    <row r="19" spans="1:29">
      <c r="A19" s="31">
        <v>6</v>
      </c>
      <c r="B19" s="58" t="s">
        <v>55</v>
      </c>
      <c r="C19" s="33" t="s">
        <v>56</v>
      </c>
      <c r="D19" s="33" t="s">
        <v>57</v>
      </c>
      <c r="E19" s="32" t="s">
        <v>45</v>
      </c>
      <c r="F19" s="53">
        <v>38979</v>
      </c>
      <c r="G19" s="35">
        <v>2</v>
      </c>
      <c r="H19" s="11" t="s">
        <v>58</v>
      </c>
      <c r="I19" s="11" t="s">
        <v>58</v>
      </c>
      <c r="J19" s="11"/>
      <c r="K19" s="11"/>
      <c r="L19" s="11"/>
      <c r="M19" s="11"/>
      <c r="N19" s="11"/>
      <c r="O19" s="11"/>
      <c r="P19" s="11"/>
      <c r="Q19" s="11"/>
      <c r="R19" s="11"/>
      <c r="S19" s="12"/>
      <c r="T19" s="12"/>
      <c r="U19" s="12"/>
      <c r="V19" s="11">
        <f t="shared" si="1"/>
        <v>2</v>
      </c>
      <c r="W19" s="11">
        <f t="shared" si="2"/>
        <v>0</v>
      </c>
      <c r="X19" s="38">
        <f t="shared" si="3"/>
        <v>9</v>
      </c>
      <c r="Y19" s="40">
        <f t="shared" si="4"/>
        <v>9</v>
      </c>
      <c r="Z19" s="38">
        <f t="shared" si="0"/>
        <v>0</v>
      </c>
      <c r="AA19" s="41">
        <f t="shared" si="5"/>
        <v>0</v>
      </c>
      <c r="AB19" s="38"/>
      <c r="AC19" s="42">
        <f t="shared" si="6"/>
        <v>0</v>
      </c>
    </row>
    <row r="20" spans="1:29">
      <c r="A20" s="31">
        <v>7</v>
      </c>
      <c r="B20" s="58" t="s">
        <v>59</v>
      </c>
      <c r="C20" s="33" t="s">
        <v>60</v>
      </c>
      <c r="D20" s="33" t="s">
        <v>57</v>
      </c>
      <c r="E20" s="32" t="s">
        <v>45</v>
      </c>
      <c r="F20" s="53">
        <v>39059</v>
      </c>
      <c r="G20" s="35">
        <v>2</v>
      </c>
      <c r="H20" s="11"/>
      <c r="I20" s="11" t="s">
        <v>58</v>
      </c>
      <c r="J20" s="11"/>
      <c r="K20" s="11"/>
      <c r="L20" s="11"/>
      <c r="M20" s="11"/>
      <c r="N20" s="11"/>
      <c r="O20" s="11"/>
      <c r="P20" s="11"/>
      <c r="Q20" s="11"/>
      <c r="R20" s="11"/>
      <c r="S20" s="12"/>
      <c r="T20" s="12"/>
      <c r="U20" s="12"/>
      <c r="V20" s="11">
        <f t="shared" si="1"/>
        <v>1</v>
      </c>
      <c r="W20" s="11">
        <f t="shared" si="2"/>
        <v>0</v>
      </c>
      <c r="X20" s="38">
        <f t="shared" si="3"/>
        <v>8</v>
      </c>
      <c r="Y20" s="40">
        <f t="shared" si="4"/>
        <v>8</v>
      </c>
      <c r="Z20" s="38">
        <f t="shared" si="0"/>
        <v>0</v>
      </c>
      <c r="AA20" s="41">
        <f t="shared" si="5"/>
        <v>0</v>
      </c>
      <c r="AB20" s="38"/>
      <c r="AC20" s="42">
        <f t="shared" si="6"/>
        <v>0</v>
      </c>
    </row>
    <row r="21" spans="1:29">
      <c r="A21" s="31">
        <v>8</v>
      </c>
      <c r="B21" s="58" t="s">
        <v>61</v>
      </c>
      <c r="C21" s="33" t="s">
        <v>62</v>
      </c>
      <c r="D21" s="33" t="s">
        <v>63</v>
      </c>
      <c r="E21" s="32" t="s">
        <v>45</v>
      </c>
      <c r="F21" s="53">
        <v>38982</v>
      </c>
      <c r="G21" s="35">
        <v>2</v>
      </c>
      <c r="H21" s="11" t="s">
        <v>58</v>
      </c>
      <c r="I21" s="11" t="s">
        <v>58</v>
      </c>
      <c r="J21" s="11"/>
      <c r="K21" s="11"/>
      <c r="L21" s="11"/>
      <c r="M21" s="11"/>
      <c r="N21" s="11"/>
      <c r="O21" s="11"/>
      <c r="P21" s="11"/>
      <c r="Q21" s="11"/>
      <c r="R21" s="11"/>
      <c r="S21" s="12"/>
      <c r="T21" s="12"/>
      <c r="U21" s="12"/>
      <c r="V21" s="11">
        <f t="shared" si="1"/>
        <v>2</v>
      </c>
      <c r="W21" s="11">
        <f t="shared" si="2"/>
        <v>0</v>
      </c>
      <c r="X21" s="38">
        <f t="shared" si="3"/>
        <v>9</v>
      </c>
      <c r="Y21" s="40">
        <f t="shared" si="4"/>
        <v>9</v>
      </c>
      <c r="Z21" s="38">
        <f t="shared" si="0"/>
        <v>0</v>
      </c>
      <c r="AA21" s="41">
        <f t="shared" si="5"/>
        <v>0</v>
      </c>
      <c r="AB21" s="38"/>
      <c r="AC21" s="42">
        <f t="shared" si="6"/>
        <v>0</v>
      </c>
    </row>
    <row r="22" spans="1:29">
      <c r="A22" s="31">
        <v>9</v>
      </c>
      <c r="B22" s="58" t="s">
        <v>64</v>
      </c>
      <c r="C22" s="33" t="s">
        <v>65</v>
      </c>
      <c r="D22" s="33" t="s">
        <v>66</v>
      </c>
      <c r="E22" s="32" t="s">
        <v>67</v>
      </c>
      <c r="F22" s="53">
        <v>38870</v>
      </c>
      <c r="G22" s="35">
        <v>2</v>
      </c>
      <c r="H22" s="11"/>
      <c r="I22" s="11" t="s">
        <v>58</v>
      </c>
      <c r="J22" s="11"/>
      <c r="K22" s="11"/>
      <c r="L22" s="11"/>
      <c r="M22" s="11"/>
      <c r="N22" s="11"/>
      <c r="O22" s="11"/>
      <c r="P22" s="11"/>
      <c r="Q22" s="11"/>
      <c r="R22" s="11"/>
      <c r="S22" s="12"/>
      <c r="T22" s="12"/>
      <c r="U22" s="12"/>
      <c r="V22" s="11">
        <f t="shared" si="1"/>
        <v>1</v>
      </c>
      <c r="W22" s="11">
        <f t="shared" si="2"/>
        <v>0</v>
      </c>
      <c r="X22" s="38">
        <f t="shared" si="3"/>
        <v>8</v>
      </c>
      <c r="Y22" s="40">
        <f t="shared" si="4"/>
        <v>8</v>
      </c>
      <c r="Z22" s="38">
        <f t="shared" si="0"/>
        <v>0</v>
      </c>
      <c r="AA22" s="41">
        <f t="shared" si="5"/>
        <v>0</v>
      </c>
      <c r="AB22" s="38"/>
      <c r="AC22" s="42">
        <f t="shared" si="6"/>
        <v>0</v>
      </c>
    </row>
    <row r="23" spans="1:29">
      <c r="A23" s="31">
        <v>10</v>
      </c>
      <c r="B23" s="58" t="s">
        <v>68</v>
      </c>
      <c r="C23" s="33" t="s">
        <v>69</v>
      </c>
      <c r="D23" s="33" t="s">
        <v>70</v>
      </c>
      <c r="E23" s="32" t="s">
        <v>45</v>
      </c>
      <c r="F23" s="53">
        <v>38897</v>
      </c>
      <c r="G23" s="35">
        <v>2</v>
      </c>
      <c r="H23" s="11"/>
      <c r="I23" s="11" t="s">
        <v>58</v>
      </c>
      <c r="J23" s="11"/>
      <c r="K23" s="11"/>
      <c r="L23" s="11"/>
      <c r="M23" s="11"/>
      <c r="N23" s="11"/>
      <c r="O23" s="11"/>
      <c r="P23" s="11"/>
      <c r="Q23" s="11"/>
      <c r="R23" s="11"/>
      <c r="S23" s="12"/>
      <c r="T23" s="12"/>
      <c r="U23" s="12"/>
      <c r="V23" s="11">
        <f t="shared" si="1"/>
        <v>1</v>
      </c>
      <c r="W23" s="11">
        <f t="shared" si="2"/>
        <v>0</v>
      </c>
      <c r="X23" s="38">
        <f t="shared" si="3"/>
        <v>8</v>
      </c>
      <c r="Y23" s="40">
        <f t="shared" si="4"/>
        <v>8</v>
      </c>
      <c r="Z23" s="38">
        <f t="shared" si="0"/>
        <v>0</v>
      </c>
      <c r="AA23" s="41">
        <f t="shared" si="5"/>
        <v>0</v>
      </c>
      <c r="AB23" s="38"/>
      <c r="AC23" s="42">
        <f t="shared" si="6"/>
        <v>0</v>
      </c>
    </row>
    <row r="24" spans="1:29">
      <c r="A24" s="31">
        <v>11</v>
      </c>
      <c r="B24" s="58" t="s">
        <v>71</v>
      </c>
      <c r="C24" s="33" t="s">
        <v>72</v>
      </c>
      <c r="D24" s="33" t="s">
        <v>73</v>
      </c>
      <c r="E24" s="32" t="s">
        <v>45</v>
      </c>
      <c r="F24" s="53">
        <v>38882</v>
      </c>
      <c r="G24" s="34">
        <v>3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2"/>
      <c r="T24" s="12"/>
      <c r="U24" s="12"/>
      <c r="V24" s="11">
        <f t="shared" si="1"/>
        <v>0</v>
      </c>
      <c r="W24" s="11">
        <f t="shared" si="2"/>
        <v>0</v>
      </c>
      <c r="X24" s="38">
        <f t="shared" si="3"/>
        <v>7</v>
      </c>
      <c r="Y24" s="40">
        <f t="shared" si="4"/>
        <v>7</v>
      </c>
      <c r="Z24" s="38">
        <f t="shared" si="0"/>
        <v>0</v>
      </c>
      <c r="AA24" s="41">
        <f t="shared" si="5"/>
        <v>0</v>
      </c>
      <c r="AB24" s="38"/>
      <c r="AC24" s="42">
        <f t="shared" si="6"/>
        <v>0</v>
      </c>
    </row>
    <row r="25" spans="1:29">
      <c r="A25" s="31">
        <v>12</v>
      </c>
      <c r="B25" s="58" t="s">
        <v>74</v>
      </c>
      <c r="C25" s="33" t="s">
        <v>75</v>
      </c>
      <c r="D25" s="33" t="s">
        <v>76</v>
      </c>
      <c r="E25" s="32" t="s">
        <v>45</v>
      </c>
      <c r="F25" s="53">
        <v>37801</v>
      </c>
      <c r="G25" s="34">
        <v>3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/>
      <c r="T25" s="12"/>
      <c r="U25" s="12"/>
      <c r="V25" s="11">
        <f t="shared" si="1"/>
        <v>0</v>
      </c>
      <c r="W25" s="11">
        <f t="shared" si="2"/>
        <v>0</v>
      </c>
      <c r="X25" s="38">
        <f t="shared" si="3"/>
        <v>7</v>
      </c>
      <c r="Y25" s="40">
        <f t="shared" si="4"/>
        <v>7</v>
      </c>
      <c r="Z25" s="38">
        <f t="shared" si="0"/>
        <v>0</v>
      </c>
      <c r="AA25" s="41">
        <f t="shared" si="5"/>
        <v>0</v>
      </c>
      <c r="AB25" s="38"/>
      <c r="AC25" s="42">
        <f t="shared" si="6"/>
        <v>0</v>
      </c>
    </row>
    <row r="26" spans="1:29">
      <c r="A26" s="31">
        <v>13</v>
      </c>
      <c r="B26" s="58" t="s">
        <v>77</v>
      </c>
      <c r="C26" s="33" t="s">
        <v>78</v>
      </c>
      <c r="D26" s="33" t="s">
        <v>79</v>
      </c>
      <c r="E26" s="32" t="s">
        <v>45</v>
      </c>
      <c r="F26" s="53">
        <v>38725</v>
      </c>
      <c r="G26" s="34">
        <v>3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  <c r="U26" s="12"/>
      <c r="V26" s="11">
        <f t="shared" si="1"/>
        <v>0</v>
      </c>
      <c r="W26" s="11">
        <f t="shared" si="2"/>
        <v>0</v>
      </c>
      <c r="X26" s="38">
        <f t="shared" si="3"/>
        <v>7</v>
      </c>
      <c r="Y26" s="40">
        <f t="shared" si="4"/>
        <v>7</v>
      </c>
      <c r="Z26" s="38">
        <f t="shared" si="0"/>
        <v>0</v>
      </c>
      <c r="AA26" s="41">
        <f t="shared" si="5"/>
        <v>0</v>
      </c>
      <c r="AB26" s="38"/>
      <c r="AC26" s="42">
        <f t="shared" si="6"/>
        <v>0</v>
      </c>
    </row>
    <row r="27" spans="1:29">
      <c r="A27" s="31">
        <v>14</v>
      </c>
      <c r="B27" s="58" t="s">
        <v>80</v>
      </c>
      <c r="C27" s="33" t="s">
        <v>81</v>
      </c>
      <c r="D27" s="33" t="s">
        <v>79</v>
      </c>
      <c r="E27" s="32" t="s">
        <v>45</v>
      </c>
      <c r="F27" s="53">
        <v>38864</v>
      </c>
      <c r="G27" s="34">
        <v>3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2"/>
      <c r="U27" s="12"/>
      <c r="V27" s="11">
        <f t="shared" si="1"/>
        <v>0</v>
      </c>
      <c r="W27" s="11">
        <f t="shared" si="2"/>
        <v>0</v>
      </c>
      <c r="X27" s="38">
        <f t="shared" si="3"/>
        <v>7</v>
      </c>
      <c r="Y27" s="40">
        <f t="shared" si="4"/>
        <v>7</v>
      </c>
      <c r="Z27" s="38">
        <f t="shared" si="0"/>
        <v>0</v>
      </c>
      <c r="AA27" s="41">
        <f t="shared" si="5"/>
        <v>0</v>
      </c>
      <c r="AB27" s="38"/>
      <c r="AC27" s="42">
        <f t="shared" si="6"/>
        <v>0</v>
      </c>
    </row>
    <row r="28" spans="1:29">
      <c r="A28" s="31">
        <v>15</v>
      </c>
      <c r="B28" s="58" t="s">
        <v>82</v>
      </c>
      <c r="C28" s="33" t="s">
        <v>83</v>
      </c>
      <c r="D28" s="33" t="s">
        <v>79</v>
      </c>
      <c r="E28" s="32" t="s">
        <v>45</v>
      </c>
      <c r="F28" s="53">
        <v>39027</v>
      </c>
      <c r="G28" s="34">
        <v>3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2"/>
      <c r="U28" s="12"/>
      <c r="V28" s="11">
        <f t="shared" si="1"/>
        <v>0</v>
      </c>
      <c r="W28" s="11">
        <f t="shared" si="2"/>
        <v>0</v>
      </c>
      <c r="X28" s="38">
        <f t="shared" si="3"/>
        <v>7</v>
      </c>
      <c r="Y28" s="40">
        <f t="shared" si="4"/>
        <v>7</v>
      </c>
      <c r="Z28" s="38">
        <f t="shared" si="0"/>
        <v>0</v>
      </c>
      <c r="AA28" s="41">
        <f t="shared" si="5"/>
        <v>0</v>
      </c>
      <c r="AB28" s="38"/>
      <c r="AC28" s="42">
        <f t="shared" si="6"/>
        <v>0</v>
      </c>
    </row>
    <row r="29" spans="1:29">
      <c r="A29" s="31">
        <v>16</v>
      </c>
      <c r="B29" s="58" t="s">
        <v>84</v>
      </c>
      <c r="C29" s="33" t="s">
        <v>85</v>
      </c>
      <c r="D29" s="33" t="s">
        <v>86</v>
      </c>
      <c r="E29" s="32" t="s">
        <v>45</v>
      </c>
      <c r="F29" s="53">
        <v>38875</v>
      </c>
      <c r="G29" s="35">
        <v>4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2"/>
      <c r="U29" s="12"/>
      <c r="V29" s="11">
        <f t="shared" si="1"/>
        <v>0</v>
      </c>
      <c r="W29" s="11">
        <f t="shared" si="2"/>
        <v>0</v>
      </c>
      <c r="X29" s="38">
        <f t="shared" si="3"/>
        <v>7</v>
      </c>
      <c r="Y29" s="40">
        <f t="shared" si="4"/>
        <v>7</v>
      </c>
      <c r="Z29" s="38">
        <f t="shared" si="0"/>
        <v>0</v>
      </c>
      <c r="AA29" s="41">
        <f t="shared" si="5"/>
        <v>0</v>
      </c>
      <c r="AB29" s="38"/>
      <c r="AC29" s="42">
        <f t="shared" si="6"/>
        <v>0</v>
      </c>
    </row>
    <row r="30" spans="1:29">
      <c r="A30" s="31">
        <v>17</v>
      </c>
      <c r="B30" s="58" t="s">
        <v>87</v>
      </c>
      <c r="C30" s="33" t="s">
        <v>88</v>
      </c>
      <c r="D30" s="33" t="s">
        <v>89</v>
      </c>
      <c r="E30" s="32" t="s">
        <v>45</v>
      </c>
      <c r="F30" s="53">
        <v>38758</v>
      </c>
      <c r="G30" s="35">
        <v>4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12"/>
      <c r="U30" s="12"/>
      <c r="V30" s="11">
        <f t="shared" si="1"/>
        <v>0</v>
      </c>
      <c r="W30" s="11">
        <f t="shared" si="2"/>
        <v>0</v>
      </c>
      <c r="X30" s="38">
        <f t="shared" si="3"/>
        <v>7</v>
      </c>
      <c r="Y30" s="40">
        <f t="shared" si="4"/>
        <v>7</v>
      </c>
      <c r="Z30" s="38">
        <f t="shared" si="0"/>
        <v>0</v>
      </c>
      <c r="AA30" s="41">
        <f t="shared" si="5"/>
        <v>0</v>
      </c>
      <c r="AB30" s="38"/>
      <c r="AC30" s="42">
        <f t="shared" si="6"/>
        <v>0</v>
      </c>
    </row>
    <row r="31" spans="1:29">
      <c r="A31" s="31">
        <v>18</v>
      </c>
      <c r="B31" s="58" t="s">
        <v>90</v>
      </c>
      <c r="C31" s="33" t="s">
        <v>91</v>
      </c>
      <c r="D31" s="33" t="s">
        <v>92</v>
      </c>
      <c r="E31" s="32" t="s">
        <v>67</v>
      </c>
      <c r="F31" s="53">
        <v>38923</v>
      </c>
      <c r="G31" s="35">
        <v>4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12"/>
      <c r="U31" s="12"/>
      <c r="V31" s="11">
        <f t="shared" si="1"/>
        <v>0</v>
      </c>
      <c r="W31" s="11">
        <f t="shared" si="2"/>
        <v>0</v>
      </c>
      <c r="X31" s="38">
        <f t="shared" si="3"/>
        <v>7</v>
      </c>
      <c r="Y31" s="40">
        <f t="shared" si="4"/>
        <v>7</v>
      </c>
      <c r="Z31" s="38">
        <f t="shared" si="0"/>
        <v>0</v>
      </c>
      <c r="AA31" s="41">
        <f t="shared" si="5"/>
        <v>0</v>
      </c>
      <c r="AB31" s="38"/>
      <c r="AC31" s="42">
        <f t="shared" si="6"/>
        <v>0</v>
      </c>
    </row>
    <row r="32" spans="1:29">
      <c r="A32" s="31">
        <v>19</v>
      </c>
      <c r="B32" s="58" t="s">
        <v>93</v>
      </c>
      <c r="C32" s="33" t="s">
        <v>94</v>
      </c>
      <c r="D32" s="33" t="s">
        <v>95</v>
      </c>
      <c r="E32" s="32" t="s">
        <v>67</v>
      </c>
      <c r="F32" s="53">
        <v>38998</v>
      </c>
      <c r="G32" s="35">
        <v>4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/>
      <c r="T32" s="12"/>
      <c r="U32" s="12"/>
      <c r="V32" s="11">
        <f t="shared" si="1"/>
        <v>0</v>
      </c>
      <c r="W32" s="11">
        <f t="shared" si="2"/>
        <v>0</v>
      </c>
      <c r="X32" s="38">
        <f t="shared" si="3"/>
        <v>7</v>
      </c>
      <c r="Y32" s="40">
        <f t="shared" si="4"/>
        <v>7</v>
      </c>
      <c r="Z32" s="38">
        <f t="shared" si="0"/>
        <v>0</v>
      </c>
      <c r="AA32" s="41">
        <f t="shared" si="5"/>
        <v>0</v>
      </c>
      <c r="AB32" s="38"/>
      <c r="AC32" s="42">
        <f t="shared" si="6"/>
        <v>0</v>
      </c>
    </row>
    <row r="33" spans="1:29">
      <c r="A33" s="31">
        <v>20</v>
      </c>
      <c r="B33" s="58" t="s">
        <v>96</v>
      </c>
      <c r="C33" s="33" t="s">
        <v>97</v>
      </c>
      <c r="D33" s="33" t="s">
        <v>98</v>
      </c>
      <c r="E33" s="32" t="s">
        <v>45</v>
      </c>
      <c r="F33" s="53">
        <v>38861</v>
      </c>
      <c r="G33" s="35">
        <v>4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12"/>
      <c r="U33" s="12"/>
      <c r="V33" s="11">
        <f t="shared" si="1"/>
        <v>0</v>
      </c>
      <c r="W33" s="11">
        <f t="shared" si="2"/>
        <v>0</v>
      </c>
      <c r="X33" s="38">
        <f t="shared" si="3"/>
        <v>7</v>
      </c>
      <c r="Y33" s="40">
        <f t="shared" si="4"/>
        <v>7</v>
      </c>
      <c r="Z33" s="38">
        <f t="shared" si="0"/>
        <v>0</v>
      </c>
      <c r="AA33" s="41">
        <f t="shared" si="5"/>
        <v>0</v>
      </c>
      <c r="AB33" s="38"/>
      <c r="AC33" s="42">
        <f t="shared" si="6"/>
        <v>0</v>
      </c>
    </row>
    <row r="34" spans="1:29">
      <c r="A34" s="31">
        <v>21</v>
      </c>
      <c r="B34" s="58" t="s">
        <v>99</v>
      </c>
      <c r="C34" s="33" t="s">
        <v>100</v>
      </c>
      <c r="D34" s="33" t="s">
        <v>101</v>
      </c>
      <c r="E34" s="32" t="s">
        <v>45</v>
      </c>
      <c r="F34" s="53">
        <v>39072</v>
      </c>
      <c r="G34" s="34">
        <v>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/>
      <c r="T34" s="12"/>
      <c r="U34" s="12"/>
      <c r="V34" s="11">
        <f t="shared" si="1"/>
        <v>0</v>
      </c>
      <c r="W34" s="11">
        <f t="shared" si="2"/>
        <v>0</v>
      </c>
      <c r="X34" s="38">
        <f t="shared" si="3"/>
        <v>7</v>
      </c>
      <c r="Y34" s="40">
        <f t="shared" si="4"/>
        <v>7</v>
      </c>
      <c r="Z34" s="38">
        <f t="shared" si="0"/>
        <v>0</v>
      </c>
      <c r="AA34" s="41">
        <f t="shared" si="5"/>
        <v>0</v>
      </c>
      <c r="AB34" s="38"/>
      <c r="AC34" s="42">
        <f t="shared" si="6"/>
        <v>0</v>
      </c>
    </row>
    <row r="35" spans="1:29">
      <c r="A35" s="31">
        <v>22</v>
      </c>
      <c r="B35" s="58" t="s">
        <v>102</v>
      </c>
      <c r="C35" s="33" t="s">
        <v>103</v>
      </c>
      <c r="D35" s="33" t="s">
        <v>104</v>
      </c>
      <c r="E35" s="32" t="s">
        <v>45</v>
      </c>
      <c r="F35" s="53">
        <v>38836</v>
      </c>
      <c r="G35" s="34">
        <v>5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12"/>
      <c r="U35" s="12"/>
      <c r="V35" s="11">
        <f t="shared" si="1"/>
        <v>0</v>
      </c>
      <c r="W35" s="11">
        <f t="shared" si="2"/>
        <v>0</v>
      </c>
      <c r="X35" s="38">
        <f t="shared" si="3"/>
        <v>7</v>
      </c>
      <c r="Y35" s="40">
        <f t="shared" si="4"/>
        <v>7</v>
      </c>
      <c r="Z35" s="38">
        <f t="shared" si="0"/>
        <v>0</v>
      </c>
      <c r="AA35" s="41">
        <f t="shared" si="5"/>
        <v>0</v>
      </c>
      <c r="AB35" s="38"/>
      <c r="AC35" s="42">
        <f t="shared" si="6"/>
        <v>0</v>
      </c>
    </row>
    <row r="36" spans="1:29">
      <c r="A36" s="31">
        <v>23</v>
      </c>
      <c r="B36" s="58" t="s">
        <v>105</v>
      </c>
      <c r="C36" s="33" t="s">
        <v>43</v>
      </c>
      <c r="D36" s="33" t="s">
        <v>104</v>
      </c>
      <c r="E36" s="32" t="s">
        <v>45</v>
      </c>
      <c r="F36" s="53">
        <v>37893</v>
      </c>
      <c r="G36" s="34">
        <v>5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12"/>
      <c r="U36" s="12"/>
      <c r="V36" s="11">
        <f t="shared" si="1"/>
        <v>0</v>
      </c>
      <c r="W36" s="11">
        <f t="shared" si="2"/>
        <v>0</v>
      </c>
      <c r="X36" s="38">
        <f t="shared" si="3"/>
        <v>7</v>
      </c>
      <c r="Y36" s="40">
        <f t="shared" si="4"/>
        <v>7</v>
      </c>
      <c r="Z36" s="38">
        <f t="shared" si="0"/>
        <v>0</v>
      </c>
      <c r="AA36" s="41">
        <f t="shared" si="5"/>
        <v>0</v>
      </c>
      <c r="AB36" s="38"/>
      <c r="AC36" s="42">
        <f t="shared" si="6"/>
        <v>0</v>
      </c>
    </row>
    <row r="37" spans="1:29">
      <c r="A37" s="31">
        <v>24</v>
      </c>
      <c r="B37" s="58" t="s">
        <v>106</v>
      </c>
      <c r="C37" s="33" t="s">
        <v>107</v>
      </c>
      <c r="D37" s="33" t="s">
        <v>104</v>
      </c>
      <c r="E37" s="32" t="s">
        <v>45</v>
      </c>
      <c r="F37" s="53">
        <v>38411</v>
      </c>
      <c r="G37" s="34">
        <v>5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12"/>
      <c r="U37" s="12"/>
      <c r="V37" s="11">
        <f t="shared" si="1"/>
        <v>0</v>
      </c>
      <c r="W37" s="11">
        <f t="shared" si="2"/>
        <v>0</v>
      </c>
      <c r="X37" s="38">
        <f t="shared" si="3"/>
        <v>7</v>
      </c>
      <c r="Y37" s="40">
        <f t="shared" si="4"/>
        <v>7</v>
      </c>
      <c r="Z37" s="38">
        <f t="shared" si="0"/>
        <v>0</v>
      </c>
      <c r="AA37" s="41">
        <f t="shared" si="5"/>
        <v>0</v>
      </c>
      <c r="AB37" s="38"/>
      <c r="AC37" s="42">
        <f t="shared" si="6"/>
        <v>0</v>
      </c>
    </row>
    <row r="38" spans="1:29">
      <c r="A38" s="31">
        <v>25</v>
      </c>
      <c r="B38" s="58" t="s">
        <v>108</v>
      </c>
      <c r="C38" s="33" t="s">
        <v>109</v>
      </c>
      <c r="D38" s="33" t="s">
        <v>110</v>
      </c>
      <c r="E38" s="32" t="s">
        <v>45</v>
      </c>
      <c r="F38" s="53">
        <v>38823</v>
      </c>
      <c r="G38" s="34">
        <v>5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2"/>
      <c r="T38" s="12"/>
      <c r="U38" s="12"/>
      <c r="V38" s="11">
        <f t="shared" si="1"/>
        <v>0</v>
      </c>
      <c r="W38" s="11">
        <f t="shared" si="2"/>
        <v>0</v>
      </c>
      <c r="X38" s="38">
        <f t="shared" si="3"/>
        <v>7</v>
      </c>
      <c r="Y38" s="40">
        <f t="shared" si="4"/>
        <v>7</v>
      </c>
      <c r="Z38" s="38">
        <f t="shared" si="0"/>
        <v>0</v>
      </c>
      <c r="AA38" s="41">
        <f t="shared" si="5"/>
        <v>0</v>
      </c>
      <c r="AB38" s="38"/>
      <c r="AC38" s="42">
        <f t="shared" si="6"/>
        <v>0</v>
      </c>
    </row>
    <row r="39" spans="1:29">
      <c r="A39" s="31">
        <v>26</v>
      </c>
      <c r="B39" s="58" t="s">
        <v>111</v>
      </c>
      <c r="C39" s="33" t="s">
        <v>112</v>
      </c>
      <c r="D39" s="33" t="s">
        <v>110</v>
      </c>
      <c r="E39" s="32" t="s">
        <v>45</v>
      </c>
      <c r="F39" s="53">
        <v>38964</v>
      </c>
      <c r="G39" s="35">
        <v>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/>
      <c r="T39" s="12"/>
      <c r="U39" s="12"/>
      <c r="V39" s="11">
        <f t="shared" si="1"/>
        <v>0</v>
      </c>
      <c r="W39" s="11">
        <f t="shared" si="2"/>
        <v>0</v>
      </c>
      <c r="X39" s="38">
        <f t="shared" si="3"/>
        <v>7</v>
      </c>
      <c r="Y39" s="40">
        <f t="shared" si="4"/>
        <v>7</v>
      </c>
      <c r="Z39" s="38">
        <f t="shared" si="0"/>
        <v>0</v>
      </c>
      <c r="AA39" s="41">
        <f t="shared" si="5"/>
        <v>0</v>
      </c>
      <c r="AB39" s="38"/>
      <c r="AC39" s="42">
        <f t="shared" si="6"/>
        <v>0</v>
      </c>
    </row>
    <row r="40" spans="1:29">
      <c r="A40" s="31">
        <v>27</v>
      </c>
      <c r="B40" s="58" t="s">
        <v>113</v>
      </c>
      <c r="C40" s="33" t="s">
        <v>114</v>
      </c>
      <c r="D40" s="33" t="s">
        <v>110</v>
      </c>
      <c r="E40" s="32" t="s">
        <v>45</v>
      </c>
      <c r="F40" s="53">
        <v>38780</v>
      </c>
      <c r="G40" s="35">
        <v>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/>
      <c r="T40" s="12"/>
      <c r="U40" s="12"/>
      <c r="V40" s="11">
        <f t="shared" si="1"/>
        <v>0</v>
      </c>
      <c r="W40" s="11">
        <f t="shared" si="2"/>
        <v>0</v>
      </c>
      <c r="X40" s="38">
        <f t="shared" si="3"/>
        <v>7</v>
      </c>
      <c r="Y40" s="40">
        <f t="shared" si="4"/>
        <v>7</v>
      </c>
      <c r="Z40" s="38">
        <f t="shared" si="0"/>
        <v>0</v>
      </c>
      <c r="AA40" s="41">
        <f t="shared" si="5"/>
        <v>0</v>
      </c>
      <c r="AB40" s="38"/>
      <c r="AC40" s="42">
        <f t="shared" si="6"/>
        <v>0</v>
      </c>
    </row>
    <row r="41" spans="1:29">
      <c r="A41" s="31">
        <v>28</v>
      </c>
      <c r="B41" s="58" t="s">
        <v>115</v>
      </c>
      <c r="C41" s="33" t="s">
        <v>116</v>
      </c>
      <c r="D41" s="33" t="s">
        <v>117</v>
      </c>
      <c r="E41" s="32" t="s">
        <v>45</v>
      </c>
      <c r="F41" s="53">
        <v>39041</v>
      </c>
      <c r="G41" s="35">
        <v>6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12"/>
      <c r="U41" s="12"/>
      <c r="V41" s="11">
        <f t="shared" si="1"/>
        <v>0</v>
      </c>
      <c r="W41" s="11">
        <f t="shared" si="2"/>
        <v>0</v>
      </c>
      <c r="X41" s="38">
        <f t="shared" si="3"/>
        <v>7</v>
      </c>
      <c r="Y41" s="40">
        <f t="shared" si="4"/>
        <v>7</v>
      </c>
      <c r="Z41" s="38">
        <f t="shared" si="0"/>
        <v>0</v>
      </c>
      <c r="AA41" s="41">
        <f t="shared" si="5"/>
        <v>0</v>
      </c>
      <c r="AB41" s="38"/>
      <c r="AC41" s="42">
        <f t="shared" si="6"/>
        <v>0</v>
      </c>
    </row>
    <row r="42" spans="1:29">
      <c r="A42" s="31">
        <v>29</v>
      </c>
      <c r="B42" s="58" t="s">
        <v>118</v>
      </c>
      <c r="C42" s="33" t="s">
        <v>119</v>
      </c>
      <c r="D42" s="33" t="s">
        <v>117</v>
      </c>
      <c r="E42" s="32" t="s">
        <v>45</v>
      </c>
      <c r="F42" s="53">
        <v>38737</v>
      </c>
      <c r="G42" s="35">
        <v>6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  <c r="T42" s="12"/>
      <c r="U42" s="12"/>
      <c r="V42" s="11">
        <f t="shared" si="1"/>
        <v>0</v>
      </c>
      <c r="W42" s="11">
        <f t="shared" si="2"/>
        <v>0</v>
      </c>
      <c r="X42" s="38">
        <f t="shared" si="3"/>
        <v>7</v>
      </c>
      <c r="Y42" s="40">
        <f t="shared" si="4"/>
        <v>7</v>
      </c>
      <c r="Z42" s="38">
        <f t="shared" si="0"/>
        <v>0</v>
      </c>
      <c r="AA42" s="41">
        <f t="shared" si="5"/>
        <v>0</v>
      </c>
      <c r="AB42" s="38"/>
      <c r="AC42" s="42">
        <f t="shared" si="6"/>
        <v>0</v>
      </c>
    </row>
    <row r="43" spans="1:29">
      <c r="A43" s="31">
        <v>30</v>
      </c>
      <c r="B43" s="58" t="s">
        <v>120</v>
      </c>
      <c r="C43" s="33" t="s">
        <v>121</v>
      </c>
      <c r="D43" s="33" t="s">
        <v>122</v>
      </c>
      <c r="E43" s="32" t="s">
        <v>45</v>
      </c>
      <c r="F43" s="53">
        <v>38743</v>
      </c>
      <c r="G43" s="35">
        <v>6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2"/>
      <c r="U43" s="12"/>
      <c r="V43" s="11">
        <f t="shared" si="1"/>
        <v>0</v>
      </c>
      <c r="W43" s="11">
        <f t="shared" si="2"/>
        <v>0</v>
      </c>
      <c r="X43" s="38">
        <f t="shared" si="3"/>
        <v>7</v>
      </c>
      <c r="Y43" s="40">
        <f t="shared" si="4"/>
        <v>7</v>
      </c>
      <c r="Z43" s="38">
        <f t="shared" si="0"/>
        <v>0</v>
      </c>
      <c r="AA43" s="41">
        <f t="shared" si="5"/>
        <v>0</v>
      </c>
      <c r="AB43" s="38"/>
      <c r="AC43" s="42">
        <f t="shared" si="6"/>
        <v>0</v>
      </c>
    </row>
    <row r="44" spans="1:29">
      <c r="A44" s="31">
        <v>31</v>
      </c>
      <c r="B44" s="58" t="s">
        <v>123</v>
      </c>
      <c r="C44" s="33" t="s">
        <v>124</v>
      </c>
      <c r="D44" s="33" t="s">
        <v>122</v>
      </c>
      <c r="E44" s="32" t="s">
        <v>45</v>
      </c>
      <c r="F44" s="53">
        <v>37385</v>
      </c>
      <c r="G44" s="34">
        <v>7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  <c r="T44" s="12"/>
      <c r="U44" s="12"/>
      <c r="V44" s="11">
        <f t="shared" si="1"/>
        <v>0</v>
      </c>
      <c r="W44" s="11">
        <f t="shared" si="2"/>
        <v>0</v>
      </c>
      <c r="X44" s="38">
        <f t="shared" si="3"/>
        <v>7</v>
      </c>
      <c r="Y44" s="40">
        <f t="shared" si="4"/>
        <v>7</v>
      </c>
      <c r="Z44" s="38">
        <f t="shared" si="0"/>
        <v>0</v>
      </c>
      <c r="AA44" s="41">
        <f t="shared" si="5"/>
        <v>0</v>
      </c>
      <c r="AB44" s="38"/>
      <c r="AC44" s="42">
        <f t="shared" si="6"/>
        <v>0</v>
      </c>
    </row>
    <row r="45" spans="1:29">
      <c r="A45" s="31">
        <v>32</v>
      </c>
      <c r="B45" s="58" t="s">
        <v>125</v>
      </c>
      <c r="C45" s="33" t="s">
        <v>126</v>
      </c>
      <c r="D45" s="33" t="s">
        <v>127</v>
      </c>
      <c r="E45" s="32" t="s">
        <v>45</v>
      </c>
      <c r="F45" s="53">
        <v>38755</v>
      </c>
      <c r="G45" s="34">
        <v>7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2"/>
      <c r="U45" s="12"/>
      <c r="V45" s="11">
        <f t="shared" si="1"/>
        <v>0</v>
      </c>
      <c r="W45" s="11">
        <f t="shared" si="2"/>
        <v>0</v>
      </c>
      <c r="X45" s="38">
        <f t="shared" si="3"/>
        <v>7</v>
      </c>
      <c r="Y45" s="40">
        <f t="shared" si="4"/>
        <v>7</v>
      </c>
      <c r="Z45" s="38">
        <f t="shared" si="0"/>
        <v>0</v>
      </c>
      <c r="AA45" s="41">
        <f t="shared" si="5"/>
        <v>0</v>
      </c>
      <c r="AB45" s="38"/>
      <c r="AC45" s="42">
        <f t="shared" si="6"/>
        <v>0</v>
      </c>
    </row>
    <row r="46" spans="1:29">
      <c r="A46" s="31">
        <v>33</v>
      </c>
      <c r="B46" s="58" t="s">
        <v>128</v>
      </c>
      <c r="C46" s="33" t="s">
        <v>129</v>
      </c>
      <c r="D46" s="33" t="s">
        <v>130</v>
      </c>
      <c r="E46" s="32" t="s">
        <v>45</v>
      </c>
      <c r="F46" s="53">
        <v>38758</v>
      </c>
      <c r="G46" s="34">
        <v>7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  <c r="T46" s="12"/>
      <c r="U46" s="12"/>
      <c r="V46" s="11">
        <f t="shared" si="1"/>
        <v>0</v>
      </c>
      <c r="W46" s="11">
        <f t="shared" si="2"/>
        <v>0</v>
      </c>
      <c r="X46" s="38">
        <f t="shared" si="3"/>
        <v>7</v>
      </c>
      <c r="Y46" s="40">
        <f t="shared" si="4"/>
        <v>7</v>
      </c>
      <c r="Z46" s="38">
        <f t="shared" si="0"/>
        <v>0</v>
      </c>
      <c r="AA46" s="41">
        <f t="shared" si="5"/>
        <v>0</v>
      </c>
      <c r="AB46" s="38"/>
      <c r="AC46" s="42">
        <f t="shared" si="6"/>
        <v>0</v>
      </c>
    </row>
    <row r="47" spans="1:29">
      <c r="A47" s="31">
        <v>34</v>
      </c>
      <c r="B47" s="58" t="s">
        <v>131</v>
      </c>
      <c r="C47" s="33" t="s">
        <v>132</v>
      </c>
      <c r="D47" s="33" t="s">
        <v>130</v>
      </c>
      <c r="E47" s="32" t="s">
        <v>45</v>
      </c>
      <c r="F47" s="53">
        <v>38950</v>
      </c>
      <c r="G47" s="34">
        <v>7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/>
      <c r="T47" s="12"/>
      <c r="U47" s="12"/>
      <c r="V47" s="11">
        <f t="shared" si="1"/>
        <v>0</v>
      </c>
      <c r="W47" s="11">
        <f t="shared" si="2"/>
        <v>0</v>
      </c>
      <c r="X47" s="38">
        <f t="shared" si="3"/>
        <v>7</v>
      </c>
      <c r="Y47" s="40">
        <f t="shared" si="4"/>
        <v>7</v>
      </c>
      <c r="Z47" s="38">
        <f t="shared" si="0"/>
        <v>0</v>
      </c>
      <c r="AA47" s="41">
        <f t="shared" si="5"/>
        <v>0</v>
      </c>
      <c r="AB47" s="38"/>
      <c r="AC47" s="42">
        <f t="shared" si="6"/>
        <v>0</v>
      </c>
    </row>
    <row r="48" spans="1:29">
      <c r="A48" s="31">
        <v>35</v>
      </c>
      <c r="B48" s="58" t="s">
        <v>133</v>
      </c>
      <c r="C48" s="33" t="s">
        <v>134</v>
      </c>
      <c r="D48" s="33" t="s">
        <v>130</v>
      </c>
      <c r="E48" s="32" t="s">
        <v>45</v>
      </c>
      <c r="F48" s="53">
        <v>38777</v>
      </c>
      <c r="G48" s="35">
        <v>8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/>
      <c r="T48" s="12"/>
      <c r="U48" s="12"/>
      <c r="V48" s="11">
        <f t="shared" si="1"/>
        <v>0</v>
      </c>
      <c r="W48" s="11">
        <f t="shared" si="2"/>
        <v>0</v>
      </c>
      <c r="X48" s="38">
        <f t="shared" si="3"/>
        <v>7</v>
      </c>
      <c r="Y48" s="40">
        <f t="shared" si="4"/>
        <v>7</v>
      </c>
      <c r="Z48" s="38">
        <f t="shared" si="0"/>
        <v>0</v>
      </c>
      <c r="AA48" s="41">
        <f t="shared" si="5"/>
        <v>0</v>
      </c>
      <c r="AB48" s="38"/>
      <c r="AC48" s="42">
        <f t="shared" si="6"/>
        <v>0</v>
      </c>
    </row>
    <row r="49" spans="1:29">
      <c r="A49" s="31">
        <v>36</v>
      </c>
      <c r="B49" s="58" t="s">
        <v>135</v>
      </c>
      <c r="C49" s="33" t="s">
        <v>136</v>
      </c>
      <c r="D49" s="33" t="s">
        <v>137</v>
      </c>
      <c r="E49" s="32" t="s">
        <v>45</v>
      </c>
      <c r="F49" s="53">
        <v>38805</v>
      </c>
      <c r="G49" s="35">
        <v>8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  <c r="U49" s="12"/>
      <c r="V49" s="11">
        <f t="shared" si="1"/>
        <v>0</v>
      </c>
      <c r="W49" s="11">
        <f t="shared" si="2"/>
        <v>0</v>
      </c>
      <c r="X49" s="38">
        <f t="shared" si="3"/>
        <v>7</v>
      </c>
      <c r="Y49" s="40">
        <f t="shared" si="4"/>
        <v>7</v>
      </c>
      <c r="Z49" s="38">
        <f t="shared" si="0"/>
        <v>0</v>
      </c>
      <c r="AA49" s="41">
        <f t="shared" si="5"/>
        <v>0</v>
      </c>
      <c r="AB49" s="38"/>
      <c r="AC49" s="42">
        <f t="shared" si="6"/>
        <v>0</v>
      </c>
    </row>
    <row r="50" spans="1:29">
      <c r="A50" s="31">
        <v>37</v>
      </c>
      <c r="B50" s="58" t="s">
        <v>138</v>
      </c>
      <c r="C50" s="33" t="s">
        <v>139</v>
      </c>
      <c r="D50" s="33" t="s">
        <v>137</v>
      </c>
      <c r="E50" s="32" t="s">
        <v>45</v>
      </c>
      <c r="F50" s="53">
        <v>38962</v>
      </c>
      <c r="G50" s="35">
        <v>8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  <c r="U50" s="12"/>
      <c r="V50" s="11">
        <f t="shared" si="1"/>
        <v>0</v>
      </c>
      <c r="W50" s="11">
        <f t="shared" si="2"/>
        <v>0</v>
      </c>
      <c r="X50" s="38">
        <f t="shared" si="3"/>
        <v>7</v>
      </c>
      <c r="Y50" s="40">
        <f t="shared" si="4"/>
        <v>7</v>
      </c>
      <c r="Z50" s="38">
        <f t="shared" si="0"/>
        <v>0</v>
      </c>
      <c r="AA50" s="41">
        <f t="shared" si="5"/>
        <v>0</v>
      </c>
      <c r="AB50" s="38"/>
      <c r="AC50" s="42">
        <f t="shared" si="6"/>
        <v>0</v>
      </c>
    </row>
    <row r="51" spans="1:29">
      <c r="A51" s="31">
        <v>38</v>
      </c>
      <c r="B51" s="58" t="s">
        <v>140</v>
      </c>
      <c r="C51" s="33" t="s">
        <v>141</v>
      </c>
      <c r="D51" s="33" t="s">
        <v>137</v>
      </c>
      <c r="E51" s="32" t="s">
        <v>45</v>
      </c>
      <c r="F51" s="53">
        <v>38822</v>
      </c>
      <c r="G51" s="35">
        <v>8</v>
      </c>
      <c r="H51" s="56" t="s">
        <v>58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  <c r="U51" s="12"/>
      <c r="V51" s="11">
        <f t="shared" si="1"/>
        <v>1</v>
      </c>
      <c r="W51" s="11">
        <f t="shared" si="2"/>
        <v>0</v>
      </c>
      <c r="X51" s="38">
        <f t="shared" si="3"/>
        <v>8</v>
      </c>
      <c r="Y51" s="40">
        <f t="shared" si="4"/>
        <v>8</v>
      </c>
      <c r="Z51" s="38">
        <f t="shared" si="0"/>
        <v>0</v>
      </c>
      <c r="AA51" s="41">
        <f t="shared" si="5"/>
        <v>0</v>
      </c>
      <c r="AB51" s="38"/>
      <c r="AC51" s="42">
        <f t="shared" si="6"/>
        <v>0</v>
      </c>
    </row>
    <row r="52" spans="1:29">
      <c r="A52" s="31">
        <v>39</v>
      </c>
      <c r="B52" s="58" t="s">
        <v>142</v>
      </c>
      <c r="C52" s="33" t="s">
        <v>143</v>
      </c>
      <c r="D52" s="33" t="s">
        <v>144</v>
      </c>
      <c r="E52" s="32" t="s">
        <v>45</v>
      </c>
      <c r="F52" s="53">
        <v>38984</v>
      </c>
      <c r="G52" s="34">
        <v>9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2"/>
      <c r="T52" s="12"/>
      <c r="U52" s="12"/>
      <c r="V52" s="11">
        <f t="shared" si="1"/>
        <v>0</v>
      </c>
      <c r="W52" s="11">
        <f t="shared" si="2"/>
        <v>0</v>
      </c>
      <c r="X52" s="38">
        <f t="shared" si="3"/>
        <v>7</v>
      </c>
      <c r="Y52" s="40">
        <f t="shared" si="4"/>
        <v>7</v>
      </c>
      <c r="Z52" s="38">
        <f t="shared" si="0"/>
        <v>0</v>
      </c>
      <c r="AA52" s="41">
        <f t="shared" si="5"/>
        <v>0</v>
      </c>
      <c r="AB52" s="38"/>
      <c r="AC52" s="42">
        <f t="shared" si="6"/>
        <v>0</v>
      </c>
    </row>
    <row r="53" spans="1:29">
      <c r="A53" s="31">
        <v>40</v>
      </c>
      <c r="B53" s="58" t="s">
        <v>145</v>
      </c>
      <c r="C53" s="33" t="s">
        <v>146</v>
      </c>
      <c r="D53" s="33" t="s">
        <v>147</v>
      </c>
      <c r="E53" s="32" t="s">
        <v>45</v>
      </c>
      <c r="F53" s="53">
        <v>38881</v>
      </c>
      <c r="G53" s="34">
        <v>9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2"/>
      <c r="T53" s="12"/>
      <c r="U53" s="12"/>
      <c r="V53" s="11">
        <f t="shared" si="1"/>
        <v>0</v>
      </c>
      <c r="W53" s="11">
        <f t="shared" si="2"/>
        <v>0</v>
      </c>
      <c r="X53" s="38">
        <f t="shared" si="3"/>
        <v>7</v>
      </c>
      <c r="Y53" s="40">
        <f t="shared" si="4"/>
        <v>7</v>
      </c>
      <c r="Z53" s="38">
        <f t="shared" si="0"/>
        <v>0</v>
      </c>
      <c r="AA53" s="41">
        <f t="shared" si="5"/>
        <v>0</v>
      </c>
      <c r="AB53" s="38"/>
      <c r="AC53" s="42">
        <f t="shared" si="6"/>
        <v>0</v>
      </c>
    </row>
    <row r="54" spans="1:29">
      <c r="A54" s="31">
        <v>41</v>
      </c>
      <c r="B54" s="58" t="s">
        <v>148</v>
      </c>
      <c r="C54" s="33" t="s">
        <v>149</v>
      </c>
      <c r="D54" s="33" t="s">
        <v>147</v>
      </c>
      <c r="E54" s="32" t="s">
        <v>45</v>
      </c>
      <c r="F54" s="53">
        <v>38930</v>
      </c>
      <c r="G54" s="34">
        <v>9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2"/>
      <c r="T54" s="12"/>
      <c r="U54" s="12"/>
      <c r="V54" s="11">
        <f t="shared" si="1"/>
        <v>0</v>
      </c>
      <c r="W54" s="11">
        <f t="shared" si="2"/>
        <v>0</v>
      </c>
      <c r="X54" s="38">
        <f t="shared" si="3"/>
        <v>7</v>
      </c>
      <c r="Y54" s="40">
        <f t="shared" si="4"/>
        <v>7</v>
      </c>
      <c r="Z54" s="38">
        <f t="shared" si="0"/>
        <v>0</v>
      </c>
      <c r="AA54" s="41">
        <f t="shared" si="5"/>
        <v>0</v>
      </c>
      <c r="AB54" s="38"/>
      <c r="AC54" s="42">
        <f t="shared" si="6"/>
        <v>0</v>
      </c>
    </row>
    <row r="55" spans="1:29">
      <c r="A55" s="31">
        <v>42</v>
      </c>
      <c r="B55" s="58" t="s">
        <v>150</v>
      </c>
      <c r="C55" s="33" t="s">
        <v>151</v>
      </c>
      <c r="D55" s="33" t="s">
        <v>152</v>
      </c>
      <c r="E55" s="32" t="s">
        <v>45</v>
      </c>
      <c r="F55" s="53">
        <v>38974</v>
      </c>
      <c r="G55" s="34">
        <v>9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  <c r="T55" s="12"/>
      <c r="U55" s="12"/>
      <c r="V55" s="11">
        <f t="shared" si="1"/>
        <v>0</v>
      </c>
      <c r="W55" s="11">
        <f t="shared" si="2"/>
        <v>0</v>
      </c>
      <c r="X55" s="38">
        <f t="shared" si="3"/>
        <v>7</v>
      </c>
      <c r="Y55" s="40">
        <f t="shared" si="4"/>
        <v>7</v>
      </c>
      <c r="Z55" s="38">
        <f t="shared" si="0"/>
        <v>0</v>
      </c>
      <c r="AA55" s="41">
        <f t="shared" si="5"/>
        <v>0</v>
      </c>
      <c r="AB55" s="38"/>
      <c r="AC55" s="42">
        <f t="shared" si="6"/>
        <v>0</v>
      </c>
    </row>
    <row r="56" spans="1:29">
      <c r="A56" s="31">
        <v>43</v>
      </c>
      <c r="B56" s="58" t="s">
        <v>153</v>
      </c>
      <c r="C56" s="33" t="s">
        <v>154</v>
      </c>
      <c r="D56" s="33" t="s">
        <v>155</v>
      </c>
      <c r="E56" s="32" t="s">
        <v>45</v>
      </c>
      <c r="F56" s="53">
        <v>38999</v>
      </c>
      <c r="G56" s="34">
        <v>9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2"/>
      <c r="T56" s="12"/>
      <c r="U56" s="12"/>
      <c r="V56" s="11">
        <f t="shared" si="1"/>
        <v>0</v>
      </c>
      <c r="W56" s="11">
        <f t="shared" si="2"/>
        <v>0</v>
      </c>
      <c r="X56" s="38">
        <f t="shared" si="3"/>
        <v>7</v>
      </c>
      <c r="Y56" s="40">
        <f t="shared" si="4"/>
        <v>7</v>
      </c>
      <c r="Z56" s="38">
        <f t="shared" si="0"/>
        <v>0</v>
      </c>
      <c r="AA56" s="41">
        <f t="shared" si="5"/>
        <v>0</v>
      </c>
      <c r="AB56" s="38"/>
      <c r="AC56" s="42">
        <f t="shared" si="6"/>
        <v>0</v>
      </c>
    </row>
    <row r="57" spans="1:29">
      <c r="A57" s="31">
        <v>44</v>
      </c>
      <c r="B57" s="58" t="s">
        <v>156</v>
      </c>
      <c r="C57" s="33" t="s">
        <v>157</v>
      </c>
      <c r="D57" s="33" t="s">
        <v>158</v>
      </c>
      <c r="E57" s="32" t="s">
        <v>45</v>
      </c>
      <c r="F57" s="53">
        <v>38960</v>
      </c>
      <c r="G57" s="35">
        <v>10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2"/>
      <c r="T57" s="12"/>
      <c r="U57" s="12"/>
      <c r="V57" s="11">
        <f t="shared" si="1"/>
        <v>0</v>
      </c>
      <c r="W57" s="11">
        <f t="shared" si="2"/>
        <v>0</v>
      </c>
      <c r="X57" s="38">
        <f t="shared" si="3"/>
        <v>7</v>
      </c>
      <c r="Y57" s="40">
        <f t="shared" si="4"/>
        <v>7</v>
      </c>
      <c r="Z57" s="38">
        <f t="shared" si="0"/>
        <v>0</v>
      </c>
      <c r="AA57" s="41">
        <f t="shared" si="5"/>
        <v>0</v>
      </c>
      <c r="AB57" s="38"/>
      <c r="AC57" s="42">
        <f t="shared" si="6"/>
        <v>0</v>
      </c>
    </row>
    <row r="58" spans="1:29">
      <c r="A58" s="31">
        <v>45</v>
      </c>
      <c r="B58" s="58" t="s">
        <v>159</v>
      </c>
      <c r="C58" s="33" t="s">
        <v>160</v>
      </c>
      <c r="D58" s="33" t="s">
        <v>161</v>
      </c>
      <c r="E58" s="32" t="s">
        <v>45</v>
      </c>
      <c r="F58" s="53">
        <v>38788</v>
      </c>
      <c r="G58" s="35">
        <v>10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2"/>
      <c r="T58" s="12"/>
      <c r="U58" s="12"/>
      <c r="V58" s="11">
        <f t="shared" si="1"/>
        <v>0</v>
      </c>
      <c r="W58" s="11">
        <f t="shared" si="2"/>
        <v>0</v>
      </c>
      <c r="X58" s="38">
        <f t="shared" si="3"/>
        <v>7</v>
      </c>
      <c r="Y58" s="40">
        <f t="shared" si="4"/>
        <v>7</v>
      </c>
      <c r="Z58" s="38">
        <f t="shared" si="0"/>
        <v>0</v>
      </c>
      <c r="AA58" s="41">
        <f t="shared" si="5"/>
        <v>0</v>
      </c>
      <c r="AB58" s="38"/>
      <c r="AC58" s="42">
        <f t="shared" si="6"/>
        <v>0</v>
      </c>
    </row>
    <row r="59" spans="1:29">
      <c r="A59" s="31">
        <v>46</v>
      </c>
      <c r="B59" s="58" t="s">
        <v>162</v>
      </c>
      <c r="C59" s="33" t="s">
        <v>163</v>
      </c>
      <c r="D59" s="33" t="s">
        <v>164</v>
      </c>
      <c r="E59" s="32" t="s">
        <v>45</v>
      </c>
      <c r="F59" s="53">
        <v>39003</v>
      </c>
      <c r="G59" s="35">
        <v>10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2"/>
      <c r="T59" s="12"/>
      <c r="U59" s="12"/>
      <c r="V59" s="11">
        <f t="shared" si="1"/>
        <v>0</v>
      </c>
      <c r="W59" s="11">
        <f t="shared" si="2"/>
        <v>0</v>
      </c>
      <c r="X59" s="38">
        <f t="shared" si="3"/>
        <v>7</v>
      </c>
      <c r="Y59" s="40">
        <f t="shared" si="4"/>
        <v>7</v>
      </c>
      <c r="Z59" s="38">
        <f t="shared" si="0"/>
        <v>0</v>
      </c>
      <c r="AA59" s="41">
        <f t="shared" si="5"/>
        <v>0</v>
      </c>
      <c r="AB59" s="38"/>
      <c r="AC59" s="42">
        <f t="shared" si="6"/>
        <v>0</v>
      </c>
    </row>
    <row r="60" spans="1:29">
      <c r="A60" s="31">
        <v>47</v>
      </c>
      <c r="B60" s="58" t="s">
        <v>165</v>
      </c>
      <c r="C60" s="33" t="s">
        <v>43</v>
      </c>
      <c r="D60" s="33" t="s">
        <v>166</v>
      </c>
      <c r="E60" s="32" t="s">
        <v>45</v>
      </c>
      <c r="F60" s="53">
        <v>38844</v>
      </c>
      <c r="G60" s="35">
        <v>10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2"/>
      <c r="T60" s="12"/>
      <c r="U60" s="12"/>
      <c r="V60" s="11">
        <f t="shared" si="1"/>
        <v>0</v>
      </c>
      <c r="W60" s="11">
        <f t="shared" si="2"/>
        <v>0</v>
      </c>
      <c r="X60" s="38">
        <f t="shared" si="3"/>
        <v>7</v>
      </c>
      <c r="Y60" s="40">
        <f t="shared" si="4"/>
        <v>7</v>
      </c>
      <c r="Z60" s="38">
        <f t="shared" si="0"/>
        <v>0</v>
      </c>
      <c r="AA60" s="41">
        <f t="shared" si="5"/>
        <v>0</v>
      </c>
      <c r="AB60" s="38"/>
      <c r="AC60" s="42">
        <f t="shared" si="6"/>
        <v>0</v>
      </c>
    </row>
    <row r="61" spans="1:29">
      <c r="A61" s="31">
        <v>48</v>
      </c>
      <c r="B61" s="58" t="s">
        <v>167</v>
      </c>
      <c r="C61" s="33" t="s">
        <v>168</v>
      </c>
      <c r="D61" s="33" t="s">
        <v>169</v>
      </c>
      <c r="E61" s="32" t="s">
        <v>45</v>
      </c>
      <c r="F61" s="53">
        <v>38911</v>
      </c>
      <c r="G61" s="35">
        <v>10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2"/>
      <c r="T61" s="12"/>
      <c r="U61" s="12"/>
      <c r="V61" s="11">
        <f t="shared" si="1"/>
        <v>0</v>
      </c>
      <c r="W61" s="11">
        <f t="shared" si="2"/>
        <v>0</v>
      </c>
      <c r="X61" s="38">
        <f t="shared" si="3"/>
        <v>7</v>
      </c>
      <c r="Y61" s="40">
        <f t="shared" si="4"/>
        <v>7</v>
      </c>
      <c r="Z61" s="38">
        <f t="shared" si="0"/>
        <v>0</v>
      </c>
      <c r="AA61" s="41">
        <f t="shared" si="5"/>
        <v>0</v>
      </c>
      <c r="AB61" s="38"/>
      <c r="AC61" s="42">
        <f t="shared" si="6"/>
        <v>0</v>
      </c>
    </row>
    <row r="62" spans="1:29">
      <c r="A62" s="31">
        <v>49</v>
      </c>
      <c r="B62" s="58" t="s">
        <v>170</v>
      </c>
      <c r="C62" s="33" t="s">
        <v>171</v>
      </c>
      <c r="D62" s="33" t="s">
        <v>169</v>
      </c>
      <c r="E62" s="32" t="s">
        <v>45</v>
      </c>
      <c r="F62" s="53">
        <v>39022</v>
      </c>
      <c r="G62" s="34">
        <v>11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2"/>
      <c r="T62" s="12"/>
      <c r="U62" s="12"/>
      <c r="V62" s="11">
        <f t="shared" si="1"/>
        <v>0</v>
      </c>
      <c r="W62" s="11">
        <f t="shared" si="2"/>
        <v>0</v>
      </c>
      <c r="X62" s="38">
        <f t="shared" si="3"/>
        <v>7</v>
      </c>
      <c r="Y62" s="40">
        <f t="shared" si="4"/>
        <v>7</v>
      </c>
      <c r="Z62" s="38">
        <f t="shared" si="0"/>
        <v>0</v>
      </c>
      <c r="AA62" s="41">
        <f t="shared" si="5"/>
        <v>0</v>
      </c>
      <c r="AB62" s="38"/>
      <c r="AC62" s="42">
        <f t="shared" si="6"/>
        <v>0</v>
      </c>
    </row>
    <row r="63" spans="1:29">
      <c r="A63" s="31">
        <v>50</v>
      </c>
      <c r="B63" s="58" t="s">
        <v>172</v>
      </c>
      <c r="C63" s="33" t="s">
        <v>173</v>
      </c>
      <c r="D63" s="33" t="s">
        <v>169</v>
      </c>
      <c r="E63" s="32" t="s">
        <v>45</v>
      </c>
      <c r="F63" s="53">
        <v>38809</v>
      </c>
      <c r="G63" s="34">
        <v>11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2"/>
      <c r="T63" s="12"/>
      <c r="U63" s="12"/>
      <c r="V63" s="11">
        <f t="shared" si="1"/>
        <v>0</v>
      </c>
      <c r="W63" s="11">
        <f t="shared" si="2"/>
        <v>0</v>
      </c>
      <c r="X63" s="38">
        <f t="shared" si="3"/>
        <v>7</v>
      </c>
      <c r="Y63" s="40">
        <f t="shared" si="4"/>
        <v>7</v>
      </c>
      <c r="Z63" s="38">
        <f t="shared" si="0"/>
        <v>0</v>
      </c>
      <c r="AA63" s="41">
        <f t="shared" si="5"/>
        <v>0</v>
      </c>
      <c r="AB63" s="38"/>
      <c r="AC63" s="42">
        <f t="shared" si="6"/>
        <v>0</v>
      </c>
    </row>
    <row r="64" spans="1:29">
      <c r="A64" s="31">
        <v>51</v>
      </c>
      <c r="B64" s="58" t="s">
        <v>174</v>
      </c>
      <c r="C64" s="33" t="s">
        <v>175</v>
      </c>
      <c r="D64" s="33" t="s">
        <v>45</v>
      </c>
      <c r="E64" s="32" t="s">
        <v>45</v>
      </c>
      <c r="F64" s="53">
        <v>39006</v>
      </c>
      <c r="G64" s="34">
        <v>11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2"/>
      <c r="T64" s="12"/>
      <c r="U64" s="12"/>
      <c r="V64" s="11">
        <f t="shared" si="1"/>
        <v>0</v>
      </c>
      <c r="W64" s="11">
        <f t="shared" si="2"/>
        <v>0</v>
      </c>
      <c r="X64" s="38">
        <f t="shared" si="3"/>
        <v>7</v>
      </c>
      <c r="Y64" s="40">
        <f t="shared" si="4"/>
        <v>7</v>
      </c>
      <c r="Z64" s="38">
        <f t="shared" si="0"/>
        <v>0</v>
      </c>
      <c r="AA64" s="41">
        <f t="shared" si="5"/>
        <v>0</v>
      </c>
      <c r="AB64" s="38"/>
      <c r="AC64" s="42">
        <f t="shared" si="6"/>
        <v>0</v>
      </c>
    </row>
    <row r="65" spans="1:29">
      <c r="A65" s="31">
        <v>52</v>
      </c>
      <c r="B65" s="58" t="s">
        <v>176</v>
      </c>
      <c r="C65" s="33" t="s">
        <v>177</v>
      </c>
      <c r="D65" s="33" t="s">
        <v>45</v>
      </c>
      <c r="E65" s="32" t="s">
        <v>45</v>
      </c>
      <c r="F65" s="53">
        <v>35308</v>
      </c>
      <c r="G65" s="34">
        <v>11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2"/>
      <c r="T65" s="12"/>
      <c r="U65" s="12"/>
      <c r="V65" s="11">
        <f t="shared" si="1"/>
        <v>0</v>
      </c>
      <c r="W65" s="11">
        <f t="shared" si="2"/>
        <v>0</v>
      </c>
      <c r="X65" s="38">
        <f t="shared" si="3"/>
        <v>7</v>
      </c>
      <c r="Y65" s="40">
        <f t="shared" si="4"/>
        <v>7</v>
      </c>
      <c r="Z65" s="38">
        <f t="shared" si="0"/>
        <v>0</v>
      </c>
      <c r="AA65" s="41">
        <f t="shared" si="5"/>
        <v>0</v>
      </c>
      <c r="AB65" s="38"/>
      <c r="AC65" s="42">
        <f t="shared" si="6"/>
        <v>0</v>
      </c>
    </row>
    <row r="66" spans="1:29">
      <c r="A66" s="31">
        <v>53</v>
      </c>
      <c r="B66" s="58" t="s">
        <v>178</v>
      </c>
      <c r="C66" s="33" t="s">
        <v>179</v>
      </c>
      <c r="D66" s="33" t="s">
        <v>180</v>
      </c>
      <c r="E66" s="32" t="s">
        <v>45</v>
      </c>
      <c r="F66" s="53">
        <v>37804</v>
      </c>
      <c r="G66" s="34">
        <v>11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2"/>
      <c r="T66" s="12"/>
      <c r="U66" s="12"/>
      <c r="V66" s="11">
        <f t="shared" si="1"/>
        <v>0</v>
      </c>
      <c r="W66" s="11">
        <f t="shared" si="2"/>
        <v>0</v>
      </c>
      <c r="X66" s="38">
        <f t="shared" si="3"/>
        <v>7</v>
      </c>
      <c r="Y66" s="40">
        <f t="shared" si="4"/>
        <v>7</v>
      </c>
      <c r="Z66" s="38">
        <f t="shared" si="0"/>
        <v>0</v>
      </c>
      <c r="AA66" s="41">
        <f t="shared" si="5"/>
        <v>0</v>
      </c>
      <c r="AB66" s="38"/>
      <c r="AC66" s="42">
        <f t="shared" si="6"/>
        <v>0</v>
      </c>
    </row>
    <row r="67" spans="1:29">
      <c r="A67" s="31">
        <v>54</v>
      </c>
      <c r="B67" s="58" t="s">
        <v>181</v>
      </c>
      <c r="C67" s="33" t="s">
        <v>182</v>
      </c>
      <c r="D67" s="33" t="s">
        <v>183</v>
      </c>
      <c r="E67" s="32" t="s">
        <v>45</v>
      </c>
      <c r="F67" s="53">
        <v>38985</v>
      </c>
      <c r="G67" s="35">
        <v>12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2"/>
      <c r="T67" s="12"/>
      <c r="U67" s="12"/>
      <c r="V67" s="11">
        <f t="shared" si="1"/>
        <v>0</v>
      </c>
      <c r="W67" s="11">
        <f t="shared" si="2"/>
        <v>0</v>
      </c>
      <c r="X67" s="38">
        <f t="shared" si="3"/>
        <v>7</v>
      </c>
      <c r="Y67" s="40">
        <f t="shared" si="4"/>
        <v>7</v>
      </c>
      <c r="Z67" s="38">
        <f t="shared" si="0"/>
        <v>0</v>
      </c>
      <c r="AA67" s="41">
        <f t="shared" si="5"/>
        <v>0</v>
      </c>
      <c r="AB67" s="38"/>
      <c r="AC67" s="42">
        <f t="shared" si="6"/>
        <v>0</v>
      </c>
    </row>
    <row r="68" spans="1:29">
      <c r="A68" s="31">
        <v>55</v>
      </c>
      <c r="B68" s="58" t="s">
        <v>184</v>
      </c>
      <c r="C68" s="33" t="s">
        <v>185</v>
      </c>
      <c r="D68" s="33" t="s">
        <v>186</v>
      </c>
      <c r="E68" s="32" t="s">
        <v>45</v>
      </c>
      <c r="F68" s="53">
        <v>38266</v>
      </c>
      <c r="G68" s="35">
        <v>12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2"/>
      <c r="T68" s="12"/>
      <c r="U68" s="12"/>
      <c r="V68" s="11">
        <f t="shared" si="1"/>
        <v>0</v>
      </c>
      <c r="W68" s="11">
        <f t="shared" si="2"/>
        <v>0</v>
      </c>
      <c r="X68" s="38">
        <f t="shared" si="3"/>
        <v>7</v>
      </c>
      <c r="Y68" s="40">
        <f t="shared" si="4"/>
        <v>7</v>
      </c>
      <c r="Z68" s="38">
        <f t="shared" si="0"/>
        <v>0</v>
      </c>
      <c r="AA68" s="41">
        <f t="shared" si="5"/>
        <v>0</v>
      </c>
      <c r="AB68" s="38"/>
      <c r="AC68" s="42">
        <f t="shared" si="6"/>
        <v>0</v>
      </c>
    </row>
    <row r="69" spans="1:29">
      <c r="A69" s="31">
        <v>56</v>
      </c>
      <c r="B69" s="58" t="s">
        <v>187</v>
      </c>
      <c r="C69" s="33" t="s">
        <v>188</v>
      </c>
      <c r="D69" s="33" t="s">
        <v>189</v>
      </c>
      <c r="E69" s="32" t="s">
        <v>45</v>
      </c>
      <c r="F69" s="53">
        <v>38811</v>
      </c>
      <c r="G69" s="35">
        <v>12</v>
      </c>
      <c r="H69" s="11" t="s">
        <v>58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2"/>
      <c r="T69" s="12"/>
      <c r="U69" s="12"/>
      <c r="V69" s="11">
        <f t="shared" si="1"/>
        <v>1</v>
      </c>
      <c r="W69" s="11">
        <f t="shared" si="2"/>
        <v>0</v>
      </c>
      <c r="X69" s="38">
        <f t="shared" si="3"/>
        <v>8</v>
      </c>
      <c r="Y69" s="40">
        <f t="shared" si="4"/>
        <v>8</v>
      </c>
      <c r="Z69" s="38">
        <f t="shared" si="0"/>
        <v>0</v>
      </c>
      <c r="AA69" s="41">
        <f t="shared" si="5"/>
        <v>0</v>
      </c>
      <c r="AB69" s="38"/>
      <c r="AC69" s="42">
        <f t="shared" si="6"/>
        <v>0</v>
      </c>
    </row>
    <row r="70" spans="1:29">
      <c r="A70" s="31">
        <v>57</v>
      </c>
      <c r="B70" s="58" t="s">
        <v>190</v>
      </c>
      <c r="C70" s="33" t="s">
        <v>191</v>
      </c>
      <c r="D70" s="33" t="s">
        <v>189</v>
      </c>
      <c r="E70" s="32" t="s">
        <v>45</v>
      </c>
      <c r="F70" s="53">
        <v>38809</v>
      </c>
      <c r="G70" s="35">
        <v>12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2"/>
      <c r="T70" s="12"/>
      <c r="U70" s="12"/>
      <c r="V70" s="11">
        <f t="shared" si="1"/>
        <v>0</v>
      </c>
      <c r="W70" s="11">
        <f t="shared" si="2"/>
        <v>0</v>
      </c>
      <c r="X70" s="38">
        <f t="shared" si="3"/>
        <v>7</v>
      </c>
      <c r="Y70" s="40">
        <f t="shared" si="4"/>
        <v>7</v>
      </c>
      <c r="Z70" s="38">
        <f t="shared" si="0"/>
        <v>0</v>
      </c>
      <c r="AA70" s="41">
        <f t="shared" si="5"/>
        <v>0</v>
      </c>
      <c r="AB70" s="38"/>
      <c r="AC70" s="42">
        <f t="shared" si="6"/>
        <v>0</v>
      </c>
    </row>
    <row r="71" spans="1:29">
      <c r="A71" s="31">
        <v>58</v>
      </c>
      <c r="B71" s="58" t="s">
        <v>192</v>
      </c>
      <c r="C71" s="33" t="s">
        <v>193</v>
      </c>
      <c r="D71" s="33" t="s">
        <v>194</v>
      </c>
      <c r="E71" s="32" t="s">
        <v>45</v>
      </c>
      <c r="F71" s="53">
        <v>38914</v>
      </c>
      <c r="G71" s="35">
        <v>12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2"/>
      <c r="T71" s="12"/>
      <c r="U71" s="12"/>
      <c r="V71" s="11">
        <f t="shared" si="1"/>
        <v>0</v>
      </c>
      <c r="W71" s="11">
        <f t="shared" si="2"/>
        <v>0</v>
      </c>
      <c r="X71" s="38">
        <f t="shared" si="3"/>
        <v>7</v>
      </c>
      <c r="Y71" s="40">
        <f t="shared" si="4"/>
        <v>7</v>
      </c>
      <c r="Z71" s="38">
        <f t="shared" si="0"/>
        <v>0</v>
      </c>
      <c r="AA71" s="41">
        <f t="shared" si="5"/>
        <v>0</v>
      </c>
      <c r="AB71" s="38"/>
      <c r="AC71" s="42">
        <f t="shared" si="6"/>
        <v>0</v>
      </c>
    </row>
    <row r="72" spans="1:29">
      <c r="A72" s="31">
        <v>59</v>
      </c>
      <c r="B72" s="58" t="s">
        <v>195</v>
      </c>
      <c r="C72" s="33" t="s">
        <v>196</v>
      </c>
      <c r="D72" s="33" t="s">
        <v>194</v>
      </c>
      <c r="E72" s="32" t="s">
        <v>67</v>
      </c>
      <c r="F72" s="53">
        <v>38826</v>
      </c>
      <c r="G72" s="34">
        <v>13</v>
      </c>
      <c r="H72" s="11" t="s">
        <v>58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2"/>
      <c r="T72" s="12"/>
      <c r="U72" s="12"/>
      <c r="V72" s="11">
        <f t="shared" si="1"/>
        <v>1</v>
      </c>
      <c r="W72" s="11">
        <f t="shared" si="2"/>
        <v>0</v>
      </c>
      <c r="X72" s="38">
        <f t="shared" si="3"/>
        <v>8</v>
      </c>
      <c r="Y72" s="40">
        <f t="shared" si="4"/>
        <v>8</v>
      </c>
      <c r="Z72" s="38">
        <f t="shared" si="0"/>
        <v>0</v>
      </c>
      <c r="AA72" s="41">
        <f t="shared" si="5"/>
        <v>0</v>
      </c>
      <c r="AB72" s="38"/>
      <c r="AC72" s="42">
        <f t="shared" si="6"/>
        <v>0</v>
      </c>
    </row>
    <row r="73" spans="1:29">
      <c r="A73" s="31">
        <v>60</v>
      </c>
      <c r="B73" s="58" t="s">
        <v>197</v>
      </c>
      <c r="C73" s="33" t="s">
        <v>198</v>
      </c>
      <c r="D73" s="33" t="s">
        <v>199</v>
      </c>
      <c r="E73" s="32" t="s">
        <v>45</v>
      </c>
      <c r="F73" s="53">
        <v>38927</v>
      </c>
      <c r="G73" s="34">
        <v>13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2"/>
      <c r="T73" s="12"/>
      <c r="U73" s="12"/>
      <c r="V73" s="11">
        <f t="shared" si="1"/>
        <v>0</v>
      </c>
      <c r="W73" s="11">
        <f t="shared" si="2"/>
        <v>0</v>
      </c>
      <c r="X73" s="38">
        <f t="shared" si="3"/>
        <v>7</v>
      </c>
      <c r="Y73" s="40">
        <f t="shared" si="4"/>
        <v>7</v>
      </c>
      <c r="Z73" s="38">
        <f t="shared" si="0"/>
        <v>0</v>
      </c>
      <c r="AA73" s="41">
        <f t="shared" si="5"/>
        <v>0</v>
      </c>
      <c r="AB73" s="38"/>
      <c r="AC73" s="42">
        <f t="shared" si="6"/>
        <v>0</v>
      </c>
    </row>
    <row r="74" spans="1:29">
      <c r="A74" s="31">
        <v>61</v>
      </c>
      <c r="B74" s="58" t="s">
        <v>200</v>
      </c>
      <c r="C74" s="33" t="s">
        <v>201</v>
      </c>
      <c r="D74" s="33" t="s">
        <v>202</v>
      </c>
      <c r="E74" s="32" t="s">
        <v>45</v>
      </c>
      <c r="F74" s="53">
        <v>37799</v>
      </c>
      <c r="G74" s="34">
        <v>13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2"/>
      <c r="T74" s="12"/>
      <c r="U74" s="12"/>
      <c r="V74" s="11">
        <f t="shared" si="1"/>
        <v>0</v>
      </c>
      <c r="W74" s="11">
        <f t="shared" si="2"/>
        <v>0</v>
      </c>
      <c r="X74" s="38">
        <f t="shared" si="3"/>
        <v>7</v>
      </c>
      <c r="Y74" s="40">
        <f t="shared" si="4"/>
        <v>7</v>
      </c>
      <c r="Z74" s="38">
        <f t="shared" si="0"/>
        <v>0</v>
      </c>
      <c r="AA74" s="41">
        <f t="shared" si="5"/>
        <v>0</v>
      </c>
      <c r="AB74" s="38"/>
      <c r="AC74" s="42">
        <f t="shared" si="6"/>
        <v>0</v>
      </c>
    </row>
    <row r="75" spans="1:29">
      <c r="A75" s="31">
        <v>62</v>
      </c>
      <c r="B75" s="58" t="s">
        <v>203</v>
      </c>
      <c r="C75" s="33" t="s">
        <v>204</v>
      </c>
      <c r="D75" s="33" t="s">
        <v>202</v>
      </c>
      <c r="E75" s="32" t="s">
        <v>45</v>
      </c>
      <c r="F75" s="53">
        <v>38782</v>
      </c>
      <c r="G75" s="34">
        <v>13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2"/>
      <c r="T75" s="12"/>
      <c r="U75" s="12"/>
      <c r="V75" s="11">
        <f t="shared" si="1"/>
        <v>0</v>
      </c>
      <c r="W75" s="11">
        <f t="shared" si="2"/>
        <v>0</v>
      </c>
      <c r="X75" s="38">
        <f t="shared" si="3"/>
        <v>7</v>
      </c>
      <c r="Y75" s="40">
        <f t="shared" si="4"/>
        <v>7</v>
      </c>
      <c r="Z75" s="38">
        <f t="shared" si="0"/>
        <v>0</v>
      </c>
      <c r="AA75" s="41">
        <f t="shared" si="5"/>
        <v>0</v>
      </c>
      <c r="AB75" s="38"/>
      <c r="AC75" s="42">
        <f t="shared" si="6"/>
        <v>0</v>
      </c>
    </row>
    <row r="76" spans="1:29">
      <c r="A76" s="31">
        <v>63</v>
      </c>
      <c r="B76" s="58" t="s">
        <v>205</v>
      </c>
      <c r="C76" s="33" t="s">
        <v>206</v>
      </c>
      <c r="D76" s="33" t="s">
        <v>207</v>
      </c>
      <c r="E76" s="32" t="s">
        <v>45</v>
      </c>
      <c r="F76" s="53">
        <v>38854</v>
      </c>
      <c r="G76" s="34">
        <v>13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2"/>
      <c r="T76" s="12"/>
      <c r="U76" s="12"/>
      <c r="V76" s="11">
        <f t="shared" si="1"/>
        <v>0</v>
      </c>
      <c r="W76" s="11">
        <f t="shared" si="2"/>
        <v>0</v>
      </c>
      <c r="X76" s="38">
        <f t="shared" si="3"/>
        <v>7</v>
      </c>
      <c r="Y76" s="40">
        <f t="shared" si="4"/>
        <v>7</v>
      </c>
      <c r="Z76" s="38">
        <f t="shared" si="0"/>
        <v>0</v>
      </c>
      <c r="AA76" s="41">
        <f t="shared" si="5"/>
        <v>0</v>
      </c>
      <c r="AB76" s="38"/>
      <c r="AC76" s="42">
        <f t="shared" si="6"/>
        <v>0</v>
      </c>
    </row>
    <row r="77" spans="1:29">
      <c r="A77" s="31">
        <v>64</v>
      </c>
      <c r="B77" s="58" t="s">
        <v>208</v>
      </c>
      <c r="C77" s="33" t="s">
        <v>209</v>
      </c>
      <c r="D77" s="33" t="s">
        <v>210</v>
      </c>
      <c r="E77" s="32" t="s">
        <v>45</v>
      </c>
      <c r="F77" s="53">
        <v>38813</v>
      </c>
      <c r="G77" s="35">
        <v>14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2"/>
      <c r="T77" s="12"/>
      <c r="U77" s="12"/>
      <c r="V77" s="11">
        <f t="shared" si="1"/>
        <v>0</v>
      </c>
      <c r="W77" s="11">
        <f t="shared" si="2"/>
        <v>0</v>
      </c>
      <c r="X77" s="38">
        <f t="shared" si="3"/>
        <v>7</v>
      </c>
      <c r="Y77" s="40">
        <f t="shared" si="4"/>
        <v>7</v>
      </c>
      <c r="Z77" s="38">
        <f t="shared" si="0"/>
        <v>0</v>
      </c>
      <c r="AA77" s="41">
        <f t="shared" si="5"/>
        <v>0</v>
      </c>
      <c r="AB77" s="38"/>
      <c r="AC77" s="42">
        <f t="shared" si="6"/>
        <v>0</v>
      </c>
    </row>
    <row r="78" spans="1:29">
      <c r="A78" s="31">
        <v>65</v>
      </c>
      <c r="B78" s="58" t="s">
        <v>211</v>
      </c>
      <c r="C78" s="33" t="s">
        <v>212</v>
      </c>
      <c r="D78" s="33" t="s">
        <v>213</v>
      </c>
      <c r="E78" s="32" t="s">
        <v>45</v>
      </c>
      <c r="F78" s="53">
        <v>38854</v>
      </c>
      <c r="G78" s="35">
        <v>14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2"/>
      <c r="T78" s="12"/>
      <c r="U78" s="12"/>
      <c r="V78" s="11">
        <f t="shared" si="1"/>
        <v>0</v>
      </c>
      <c r="W78" s="11">
        <f t="shared" si="2"/>
        <v>0</v>
      </c>
      <c r="X78" s="38">
        <f t="shared" si="3"/>
        <v>7</v>
      </c>
      <c r="Y78" s="40">
        <f t="shared" si="4"/>
        <v>7</v>
      </c>
      <c r="Z78" s="38">
        <f t="shared" ref="Z78:Z89" si="7">VLOOKUP(G78,BANG2,2,0)</f>
        <v>0</v>
      </c>
      <c r="AA78" s="41">
        <f t="shared" si="5"/>
        <v>0</v>
      </c>
      <c r="AB78" s="38"/>
      <c r="AC78" s="42">
        <f t="shared" si="6"/>
        <v>0</v>
      </c>
    </row>
    <row r="79" spans="1:29">
      <c r="A79" s="31">
        <v>66</v>
      </c>
      <c r="B79" s="58" t="s">
        <v>214</v>
      </c>
      <c r="C79" s="33" t="s">
        <v>215</v>
      </c>
      <c r="D79" s="33" t="s">
        <v>216</v>
      </c>
      <c r="E79" s="32" t="s">
        <v>45</v>
      </c>
      <c r="F79" s="53">
        <v>39000</v>
      </c>
      <c r="G79" s="35">
        <v>14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2"/>
      <c r="T79" s="12"/>
      <c r="U79" s="12"/>
      <c r="V79" s="11">
        <f t="shared" ref="V79:V89" si="8">COUNTIF(H79:U79,"+")</f>
        <v>0</v>
      </c>
      <c r="W79" s="11">
        <f t="shared" ref="W79:W89" si="9">COUNTIF(H79:U79,"-")</f>
        <v>0</v>
      </c>
      <c r="X79" s="38">
        <f t="shared" ref="X79:X89" si="10">7+V79-W79</f>
        <v>7</v>
      </c>
      <c r="Y79" s="40">
        <f t="shared" ref="Y79:Y89" si="11">IF(X79&gt;10,10,X79)</f>
        <v>7</v>
      </c>
      <c r="Z79" s="38">
        <f t="shared" si="7"/>
        <v>0</v>
      </c>
      <c r="AA79" s="41">
        <f t="shared" ref="AA79:AA89" si="12">IF(Z79&gt;10,10,Z79)</f>
        <v>0</v>
      </c>
      <c r="AB79" s="38"/>
      <c r="AC79" s="42">
        <f t="shared" ref="AC79:AC89" si="13">IF(AB79&gt;10,10,AB79)</f>
        <v>0</v>
      </c>
    </row>
    <row r="80" spans="1:29">
      <c r="A80" s="31">
        <v>67</v>
      </c>
      <c r="B80" s="58" t="s">
        <v>217</v>
      </c>
      <c r="C80" s="33" t="s">
        <v>218</v>
      </c>
      <c r="D80" s="33" t="s">
        <v>219</v>
      </c>
      <c r="E80" s="32" t="s">
        <v>45</v>
      </c>
      <c r="F80" s="53">
        <v>39070</v>
      </c>
      <c r="G80" s="35">
        <v>14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2"/>
      <c r="T80" s="12"/>
      <c r="U80" s="12"/>
      <c r="V80" s="11">
        <f t="shared" si="8"/>
        <v>0</v>
      </c>
      <c r="W80" s="11">
        <f t="shared" si="9"/>
        <v>0</v>
      </c>
      <c r="X80" s="38">
        <f t="shared" si="10"/>
        <v>7</v>
      </c>
      <c r="Y80" s="40">
        <f t="shared" si="11"/>
        <v>7</v>
      </c>
      <c r="Z80" s="38">
        <f t="shared" si="7"/>
        <v>0</v>
      </c>
      <c r="AA80" s="41">
        <f t="shared" si="12"/>
        <v>0</v>
      </c>
      <c r="AB80" s="38"/>
      <c r="AC80" s="42">
        <f t="shared" si="13"/>
        <v>0</v>
      </c>
    </row>
    <row r="81" spans="1:29">
      <c r="A81" s="31">
        <v>68</v>
      </c>
      <c r="B81" s="58" t="s">
        <v>220</v>
      </c>
      <c r="C81" s="33" t="s">
        <v>221</v>
      </c>
      <c r="D81" s="33" t="s">
        <v>222</v>
      </c>
      <c r="E81" s="32" t="s">
        <v>45</v>
      </c>
      <c r="F81" s="53">
        <v>39013</v>
      </c>
      <c r="G81" s="35">
        <v>14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2"/>
      <c r="T81" s="12"/>
      <c r="U81" s="12"/>
      <c r="V81" s="11">
        <f t="shared" si="8"/>
        <v>0</v>
      </c>
      <c r="W81" s="11">
        <f t="shared" si="9"/>
        <v>0</v>
      </c>
      <c r="X81" s="38">
        <f t="shared" si="10"/>
        <v>7</v>
      </c>
      <c r="Y81" s="40">
        <f t="shared" si="11"/>
        <v>7</v>
      </c>
      <c r="Z81" s="38">
        <f t="shared" si="7"/>
        <v>0</v>
      </c>
      <c r="AA81" s="41">
        <f t="shared" si="12"/>
        <v>0</v>
      </c>
      <c r="AB81" s="38"/>
      <c r="AC81" s="42">
        <f t="shared" si="13"/>
        <v>0</v>
      </c>
    </row>
    <row r="82" spans="1:29">
      <c r="A82" s="31">
        <v>69</v>
      </c>
      <c r="B82" s="58" t="s">
        <v>223</v>
      </c>
      <c r="C82" s="33" t="s">
        <v>224</v>
      </c>
      <c r="D82" s="33" t="s">
        <v>225</v>
      </c>
      <c r="E82" s="32" t="s">
        <v>45</v>
      </c>
      <c r="F82" s="53">
        <v>38922</v>
      </c>
      <c r="G82" s="34">
        <v>15</v>
      </c>
      <c r="H82" s="11"/>
      <c r="I82" s="11" t="s">
        <v>58</v>
      </c>
      <c r="J82" s="11"/>
      <c r="K82" s="11"/>
      <c r="L82" s="11"/>
      <c r="M82" s="11"/>
      <c r="N82" s="11"/>
      <c r="O82" s="11"/>
      <c r="P82" s="11"/>
      <c r="Q82" s="11"/>
      <c r="R82" s="11"/>
      <c r="S82" s="12"/>
      <c r="T82" s="12"/>
      <c r="U82" s="12"/>
      <c r="V82" s="11">
        <f t="shared" si="8"/>
        <v>1</v>
      </c>
      <c r="W82" s="11">
        <f t="shared" si="9"/>
        <v>0</v>
      </c>
      <c r="X82" s="38">
        <f t="shared" si="10"/>
        <v>8</v>
      </c>
      <c r="Y82" s="40">
        <f t="shared" si="11"/>
        <v>8</v>
      </c>
      <c r="Z82" s="38">
        <f t="shared" si="7"/>
        <v>0</v>
      </c>
      <c r="AA82" s="41">
        <f t="shared" si="12"/>
        <v>0</v>
      </c>
      <c r="AB82" s="38"/>
      <c r="AC82" s="42">
        <f t="shared" si="13"/>
        <v>0</v>
      </c>
    </row>
    <row r="83" spans="1:29">
      <c r="A83" s="31">
        <v>70</v>
      </c>
      <c r="B83" s="58" t="s">
        <v>226</v>
      </c>
      <c r="C83" s="33" t="s">
        <v>227</v>
      </c>
      <c r="D83" s="33" t="s">
        <v>228</v>
      </c>
      <c r="E83" s="32" t="s">
        <v>45</v>
      </c>
      <c r="F83" s="53">
        <v>37838</v>
      </c>
      <c r="G83" s="34">
        <v>15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2"/>
      <c r="T83" s="12"/>
      <c r="U83" s="12"/>
      <c r="V83" s="11">
        <f t="shared" si="8"/>
        <v>0</v>
      </c>
      <c r="W83" s="11">
        <f t="shared" si="9"/>
        <v>0</v>
      </c>
      <c r="X83" s="38">
        <f t="shared" si="10"/>
        <v>7</v>
      </c>
      <c r="Y83" s="40">
        <f t="shared" si="11"/>
        <v>7</v>
      </c>
      <c r="Z83" s="38">
        <f t="shared" si="7"/>
        <v>0</v>
      </c>
      <c r="AA83" s="41">
        <f t="shared" si="12"/>
        <v>0</v>
      </c>
      <c r="AB83" s="38"/>
      <c r="AC83" s="42">
        <f t="shared" si="13"/>
        <v>0</v>
      </c>
    </row>
    <row r="84" spans="1:29">
      <c r="A84" s="31">
        <v>71</v>
      </c>
      <c r="B84" s="58" t="s">
        <v>229</v>
      </c>
      <c r="C84" s="33" t="s">
        <v>75</v>
      </c>
      <c r="D84" s="33" t="s">
        <v>228</v>
      </c>
      <c r="E84" s="32" t="s">
        <v>45</v>
      </c>
      <c r="F84" s="53">
        <v>38766</v>
      </c>
      <c r="G84" s="34">
        <v>15</v>
      </c>
      <c r="H84" s="11"/>
      <c r="I84" s="11" t="s">
        <v>58</v>
      </c>
      <c r="J84" s="11"/>
      <c r="K84" s="11"/>
      <c r="L84" s="11"/>
      <c r="M84" s="11"/>
      <c r="N84" s="11"/>
      <c r="O84" s="11"/>
      <c r="P84" s="11"/>
      <c r="Q84" s="11"/>
      <c r="R84" s="11"/>
      <c r="S84" s="12"/>
      <c r="T84" s="12"/>
      <c r="U84" s="12"/>
      <c r="V84" s="11">
        <f t="shared" si="8"/>
        <v>1</v>
      </c>
      <c r="W84" s="11">
        <f t="shared" si="9"/>
        <v>0</v>
      </c>
      <c r="X84" s="38">
        <f t="shared" si="10"/>
        <v>8</v>
      </c>
      <c r="Y84" s="40">
        <f t="shared" si="11"/>
        <v>8</v>
      </c>
      <c r="Z84" s="38">
        <f t="shared" si="7"/>
        <v>0</v>
      </c>
      <c r="AA84" s="41">
        <f t="shared" si="12"/>
        <v>0</v>
      </c>
      <c r="AB84" s="38"/>
      <c r="AC84" s="42">
        <f t="shared" si="13"/>
        <v>0</v>
      </c>
    </row>
    <row r="85" spans="1:29">
      <c r="A85" s="31">
        <v>72</v>
      </c>
      <c r="B85" s="58" t="s">
        <v>230</v>
      </c>
      <c r="C85" s="33" t="s">
        <v>231</v>
      </c>
      <c r="D85" s="33" t="s">
        <v>232</v>
      </c>
      <c r="E85" s="32" t="s">
        <v>45</v>
      </c>
      <c r="F85" s="53">
        <v>38777</v>
      </c>
      <c r="G85" s="34">
        <v>15</v>
      </c>
      <c r="H85" s="11"/>
      <c r="I85" s="11" t="s">
        <v>58</v>
      </c>
      <c r="J85" s="11"/>
      <c r="K85" s="11"/>
      <c r="L85" s="11"/>
      <c r="M85" s="11"/>
      <c r="N85" s="11"/>
      <c r="O85" s="11"/>
      <c r="P85" s="11"/>
      <c r="Q85" s="11"/>
      <c r="R85" s="11"/>
      <c r="S85" s="12"/>
      <c r="T85" s="12"/>
      <c r="U85" s="12"/>
      <c r="V85" s="11">
        <f t="shared" si="8"/>
        <v>1</v>
      </c>
      <c r="W85" s="11">
        <f t="shared" si="9"/>
        <v>0</v>
      </c>
      <c r="X85" s="38">
        <f t="shared" si="10"/>
        <v>8</v>
      </c>
      <c r="Y85" s="40">
        <f t="shared" si="11"/>
        <v>8</v>
      </c>
      <c r="Z85" s="38">
        <f t="shared" si="7"/>
        <v>0</v>
      </c>
      <c r="AA85" s="41">
        <f t="shared" si="12"/>
        <v>0</v>
      </c>
      <c r="AB85" s="38"/>
      <c r="AC85" s="42">
        <f t="shared" si="13"/>
        <v>0</v>
      </c>
    </row>
    <row r="86" spans="1:29">
      <c r="A86" s="31">
        <v>73</v>
      </c>
      <c r="B86" s="58" t="s">
        <v>233</v>
      </c>
      <c r="C86" s="33" t="s">
        <v>234</v>
      </c>
      <c r="D86" s="33" t="s">
        <v>235</v>
      </c>
      <c r="E86" s="32" t="s">
        <v>45</v>
      </c>
      <c r="F86" s="53">
        <v>38819</v>
      </c>
      <c r="G86" s="34">
        <v>15</v>
      </c>
      <c r="H86" s="11" t="s">
        <v>58</v>
      </c>
      <c r="I86" s="11" t="s">
        <v>58</v>
      </c>
      <c r="J86" s="11"/>
      <c r="K86" s="11"/>
      <c r="L86" s="11"/>
      <c r="M86" s="11"/>
      <c r="N86" s="11"/>
      <c r="O86" s="11"/>
      <c r="P86" s="11"/>
      <c r="Q86" s="11"/>
      <c r="R86" s="11"/>
      <c r="S86" s="12"/>
      <c r="T86" s="12"/>
      <c r="U86" s="12"/>
      <c r="V86" s="11">
        <f t="shared" si="8"/>
        <v>2</v>
      </c>
      <c r="W86" s="11">
        <f t="shared" si="9"/>
        <v>0</v>
      </c>
      <c r="X86" s="38">
        <f t="shared" si="10"/>
        <v>9</v>
      </c>
      <c r="Y86" s="40">
        <f t="shared" si="11"/>
        <v>9</v>
      </c>
      <c r="Z86" s="38">
        <f t="shared" si="7"/>
        <v>0</v>
      </c>
      <c r="AA86" s="41">
        <f t="shared" si="12"/>
        <v>0</v>
      </c>
      <c r="AB86" s="38"/>
      <c r="AC86" s="42">
        <f t="shared" si="13"/>
        <v>0</v>
      </c>
    </row>
    <row r="87" spans="1:29">
      <c r="A87" s="31">
        <v>74</v>
      </c>
      <c r="B87" s="58" t="s">
        <v>236</v>
      </c>
      <c r="C87" s="33" t="s">
        <v>237</v>
      </c>
      <c r="D87" s="33" t="s">
        <v>238</v>
      </c>
      <c r="E87" s="32" t="s">
        <v>45</v>
      </c>
      <c r="F87" s="53">
        <v>38744</v>
      </c>
      <c r="G87" s="34">
        <v>15</v>
      </c>
      <c r="H87" s="11"/>
      <c r="I87" s="11" t="s">
        <v>58</v>
      </c>
      <c r="J87" s="11"/>
      <c r="K87" s="11"/>
      <c r="L87" s="11"/>
      <c r="M87" s="11"/>
      <c r="N87" s="11"/>
      <c r="O87" s="11"/>
      <c r="P87" s="11"/>
      <c r="Q87" s="11"/>
      <c r="R87" s="11"/>
      <c r="S87" s="12"/>
      <c r="T87" s="12"/>
      <c r="U87" s="12"/>
      <c r="V87" s="11">
        <f t="shared" si="8"/>
        <v>1</v>
      </c>
      <c r="W87" s="11">
        <f t="shared" si="9"/>
        <v>0</v>
      </c>
      <c r="X87" s="38">
        <f t="shared" si="10"/>
        <v>8</v>
      </c>
      <c r="Y87" s="40">
        <f t="shared" si="11"/>
        <v>8</v>
      </c>
      <c r="Z87" s="38">
        <f t="shared" si="7"/>
        <v>0</v>
      </c>
      <c r="AA87" s="41">
        <f t="shared" si="12"/>
        <v>0</v>
      </c>
      <c r="AB87" s="38"/>
      <c r="AC87" s="42">
        <f t="shared" si="13"/>
        <v>0</v>
      </c>
    </row>
    <row r="88" spans="1:29">
      <c r="A88" s="31">
        <v>75</v>
      </c>
      <c r="B88" s="58" t="s">
        <v>239</v>
      </c>
      <c r="C88" s="33" t="s">
        <v>240</v>
      </c>
      <c r="D88" s="33" t="s">
        <v>238</v>
      </c>
      <c r="E88" s="32" t="s">
        <v>45</v>
      </c>
      <c r="F88" s="53">
        <v>38885</v>
      </c>
      <c r="G88" s="35">
        <v>16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2"/>
      <c r="T88" s="12"/>
      <c r="U88" s="12"/>
      <c r="V88" s="11">
        <f t="shared" si="8"/>
        <v>0</v>
      </c>
      <c r="W88" s="11">
        <f t="shared" si="9"/>
        <v>0</v>
      </c>
      <c r="X88" s="38">
        <f t="shared" si="10"/>
        <v>7</v>
      </c>
      <c r="Y88" s="40">
        <f t="shared" si="11"/>
        <v>7</v>
      </c>
      <c r="Z88" s="38" t="e">
        <f t="shared" si="7"/>
        <v>#N/A</v>
      </c>
      <c r="AA88" s="41" t="e">
        <f t="shared" si="12"/>
        <v>#N/A</v>
      </c>
      <c r="AB88" s="38"/>
      <c r="AC88" s="42">
        <f t="shared" si="13"/>
        <v>0</v>
      </c>
    </row>
    <row r="89" spans="1:29">
      <c r="A89" s="31">
        <v>76</v>
      </c>
      <c r="B89" s="58" t="s">
        <v>241</v>
      </c>
      <c r="C89" s="33" t="s">
        <v>242</v>
      </c>
      <c r="D89" s="33" t="s">
        <v>243</v>
      </c>
      <c r="E89" s="32" t="s">
        <v>45</v>
      </c>
      <c r="F89" s="53">
        <v>38932</v>
      </c>
      <c r="G89" s="35">
        <v>16</v>
      </c>
      <c r="H89" s="11" t="s">
        <v>58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2"/>
      <c r="T89" s="12"/>
      <c r="U89" s="12"/>
      <c r="V89" s="11">
        <f t="shared" si="8"/>
        <v>1</v>
      </c>
      <c r="W89" s="11">
        <f t="shared" si="9"/>
        <v>0</v>
      </c>
      <c r="X89" s="38">
        <f t="shared" si="10"/>
        <v>8</v>
      </c>
      <c r="Y89" s="40">
        <f t="shared" si="11"/>
        <v>8</v>
      </c>
      <c r="Z89" s="38" t="e">
        <f t="shared" si="7"/>
        <v>#N/A</v>
      </c>
      <c r="AA89" s="41" t="e">
        <f t="shared" si="12"/>
        <v>#N/A</v>
      </c>
      <c r="AB89" s="38"/>
      <c r="AC89" s="42">
        <f t="shared" si="13"/>
        <v>0</v>
      </c>
    </row>
    <row r="90" spans="1:29">
      <c r="A90" s="31">
        <v>77</v>
      </c>
      <c r="B90" s="58" t="s">
        <v>244</v>
      </c>
      <c r="C90" s="33" t="s">
        <v>245</v>
      </c>
      <c r="D90" s="33" t="s">
        <v>246</v>
      </c>
      <c r="E90" s="32" t="s">
        <v>45</v>
      </c>
      <c r="F90" s="53">
        <v>39046</v>
      </c>
      <c r="G90" s="35">
        <v>16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45"/>
      <c r="AA90" s="11"/>
      <c r="AB90" s="45"/>
      <c r="AC90" s="11"/>
    </row>
    <row r="91" spans="1:29">
      <c r="A91" s="31">
        <v>78</v>
      </c>
      <c r="B91" s="58" t="s">
        <v>247</v>
      </c>
      <c r="C91" s="33" t="s">
        <v>248</v>
      </c>
      <c r="D91" s="33" t="s">
        <v>246</v>
      </c>
      <c r="E91" s="32" t="s">
        <v>45</v>
      </c>
      <c r="F91" s="53">
        <v>39012</v>
      </c>
      <c r="G91" s="35">
        <v>16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45"/>
      <c r="AA91" s="11"/>
      <c r="AB91" s="45"/>
      <c r="AC91" s="11"/>
    </row>
    <row r="92" spans="1:29">
      <c r="A92" s="31">
        <v>79</v>
      </c>
      <c r="B92" s="58" t="s">
        <v>249</v>
      </c>
      <c r="C92" s="33" t="s">
        <v>250</v>
      </c>
      <c r="D92" s="33" t="s">
        <v>251</v>
      </c>
      <c r="E92" s="32" t="s">
        <v>45</v>
      </c>
      <c r="F92" s="53">
        <v>39005</v>
      </c>
      <c r="G92" s="35">
        <v>16</v>
      </c>
      <c r="H92" s="11" t="s">
        <v>58</v>
      </c>
      <c r="I92" s="11" t="s">
        <v>58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45"/>
      <c r="AA92" s="11"/>
      <c r="AB92" s="45"/>
      <c r="AC92" s="11"/>
    </row>
    <row r="93" spans="1:29">
      <c r="A93" s="31">
        <v>80</v>
      </c>
      <c r="B93" s="58" t="s">
        <v>252</v>
      </c>
      <c r="C93" s="33" t="s">
        <v>253</v>
      </c>
      <c r="D93" s="33" t="s">
        <v>251</v>
      </c>
      <c r="E93" s="32" t="s">
        <v>45</v>
      </c>
      <c r="F93" s="53">
        <v>38725</v>
      </c>
      <c r="G93" s="35">
        <v>16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45"/>
      <c r="AA93" s="11"/>
      <c r="AB93" s="45"/>
      <c r="AC93" s="11"/>
    </row>
    <row r="94" spans="2:3">
      <c r="B94" s="14" t="s">
        <v>254</v>
      </c>
      <c r="C94" s="14"/>
    </row>
    <row r="95" spans="2:8">
      <c r="B95" s="14" t="s">
        <v>255</v>
      </c>
      <c r="C95" s="14"/>
      <c r="D95" s="14"/>
      <c r="E95" s="14"/>
      <c r="F95" s="14"/>
      <c r="G95" s="43"/>
      <c r="H95" s="14"/>
    </row>
    <row r="96" spans="2:8">
      <c r="B96" s="14" t="s">
        <v>256</v>
      </c>
      <c r="C96" s="14"/>
      <c r="D96" s="14"/>
      <c r="E96" s="14"/>
      <c r="F96" s="14"/>
      <c r="G96" s="43"/>
      <c r="H96" s="14"/>
    </row>
    <row r="97" spans="4:5">
      <c r="D97" s="44" t="s">
        <v>257</v>
      </c>
      <c r="E97" s="44"/>
    </row>
    <row r="99" spans="4:8">
      <c r="D99" s="34" t="s">
        <v>13</v>
      </c>
      <c r="E99" s="34" t="s">
        <v>38</v>
      </c>
      <c r="F99" s="23"/>
      <c r="G99" s="18"/>
      <c r="H99" s="23"/>
    </row>
    <row r="100" spans="4:8">
      <c r="D100" s="45">
        <v>1</v>
      </c>
      <c r="E100" s="11">
        <v>0</v>
      </c>
      <c r="F100" s="23"/>
      <c r="G100" s="46"/>
      <c r="H100" s="46"/>
    </row>
    <row r="101" spans="4:8">
      <c r="D101" s="45">
        <v>2</v>
      </c>
      <c r="E101" s="11">
        <v>0</v>
      </c>
      <c r="F101" s="23"/>
      <c r="G101" s="46"/>
      <c r="H101" s="46"/>
    </row>
    <row r="102" spans="4:8">
      <c r="D102" s="45">
        <v>3</v>
      </c>
      <c r="E102" s="11">
        <v>0</v>
      </c>
      <c r="F102" s="23"/>
      <c r="G102" s="46"/>
      <c r="H102" s="46"/>
    </row>
    <row r="103" spans="4:8">
      <c r="D103" s="45">
        <v>4</v>
      </c>
      <c r="E103" s="11">
        <v>0</v>
      </c>
      <c r="F103" s="23"/>
      <c r="G103" s="46"/>
      <c r="H103" s="46"/>
    </row>
    <row r="104" spans="4:8">
      <c r="D104" s="45">
        <v>5</v>
      </c>
      <c r="E104" s="11">
        <v>0</v>
      </c>
      <c r="F104" s="23"/>
      <c r="G104" s="46"/>
      <c r="H104" s="46"/>
    </row>
    <row r="105" spans="4:8">
      <c r="D105" s="45">
        <v>6</v>
      </c>
      <c r="E105" s="11">
        <v>0</v>
      </c>
      <c r="F105" s="23"/>
      <c r="G105" s="46"/>
      <c r="H105" s="46"/>
    </row>
    <row r="106" spans="4:8">
      <c r="D106" s="45">
        <v>7</v>
      </c>
      <c r="E106" s="11">
        <v>0</v>
      </c>
      <c r="F106" s="23"/>
      <c r="G106" s="46"/>
      <c r="H106" s="46"/>
    </row>
    <row r="107" spans="4:8">
      <c r="D107" s="45">
        <v>8</v>
      </c>
      <c r="E107" s="11">
        <v>0</v>
      </c>
      <c r="F107" s="23"/>
      <c r="G107" s="46"/>
      <c r="H107" s="46"/>
    </row>
    <row r="108" spans="4:8">
      <c r="D108" s="45">
        <v>9</v>
      </c>
      <c r="E108" s="11">
        <v>0</v>
      </c>
      <c r="F108" s="23"/>
      <c r="G108" s="46"/>
      <c r="H108" s="46"/>
    </row>
    <row r="109" spans="4:8">
      <c r="D109" s="45">
        <v>10</v>
      </c>
      <c r="E109" s="11">
        <v>0</v>
      </c>
      <c r="F109" s="23"/>
      <c r="G109" s="46"/>
      <c r="H109" s="46"/>
    </row>
    <row r="110" spans="4:5">
      <c r="D110" s="45">
        <v>11</v>
      </c>
      <c r="E110" s="11">
        <v>0</v>
      </c>
    </row>
    <row r="111" spans="4:5">
      <c r="D111" s="45">
        <v>12</v>
      </c>
      <c r="E111" s="11">
        <v>0</v>
      </c>
    </row>
    <row r="112" spans="4:5">
      <c r="D112" s="45">
        <v>13</v>
      </c>
      <c r="E112" s="11">
        <v>0</v>
      </c>
    </row>
    <row r="113" spans="4:5">
      <c r="D113" s="45">
        <v>14</v>
      </c>
      <c r="E113" s="11">
        <v>0</v>
      </c>
    </row>
    <row r="114" spans="4:5">
      <c r="D114" s="45">
        <v>15</v>
      </c>
      <c r="E114" s="11">
        <v>0</v>
      </c>
    </row>
  </sheetData>
  <mergeCells count="11">
    <mergeCell ref="D97:E97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</mergeCells>
  <conditionalFormatting sqref="C12">
    <cfRule type="cellIs" dxfId="0" priority="5" stopIfTrue="1" operator="equal">
      <formula>0</formula>
    </cfRule>
  </conditionalFormatting>
  <conditionalFormatting sqref="A14:F14">
    <cfRule type="cellIs" dxfId="0" priority="1" stopIfTrue="1" operator="equal">
      <formula>0</formula>
    </cfRule>
  </conditionalFormatting>
  <conditionalFormatting sqref="I11 C7:C11">
    <cfRule type="cellIs" dxfId="0" priority="2" stopIfTrue="1" operator="equal">
      <formula>0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C114"/>
  <sheetViews>
    <sheetView zoomScale="110" zoomScaleNormal="110" topLeftCell="A9" workbookViewId="0">
      <selection activeCell="Q60" sqref="Q60"/>
    </sheetView>
  </sheetViews>
  <sheetFormatPr defaultColWidth="9" defaultRowHeight="18.75"/>
  <cols>
    <col min="1" max="1" width="5.21904761904762" style="1" customWidth="1"/>
    <col min="2" max="2" width="18.1047619047619" style="1" customWidth="1"/>
    <col min="3" max="3" width="28.7809523809524" style="1" customWidth="1"/>
    <col min="4" max="4" width="11.6666666666667" style="1" customWidth="1"/>
    <col min="5" max="5" width="12.1047619047619" style="1" customWidth="1"/>
    <col min="6" max="6" width="16.552380952381" style="1" customWidth="1"/>
    <col min="7" max="7" width="7.1047619047619" style="27" customWidth="1"/>
    <col min="8" max="18" width="5.78095238095238" style="1" customWidth="1"/>
    <col min="19" max="21" width="6.78095238095238" style="1" customWidth="1"/>
    <col min="22" max="23" width="17.7809523809524" style="1" customWidth="1"/>
    <col min="24" max="25" width="9.78095238095238" style="1" customWidth="1"/>
    <col min="26" max="26" width="9.78095238095238" style="27" customWidth="1"/>
    <col min="27" max="27" width="9.78095238095238" style="1" customWidth="1"/>
    <col min="28" max="28" width="9.78095238095238" style="27" customWidth="1"/>
    <col min="29" max="29" width="10.6666666666667" style="1" customWidth="1"/>
    <col min="30" max="16384" width="8.88571428571429" style="1"/>
  </cols>
  <sheetData>
    <row r="6" ht="20.25" spans="4:24">
      <c r="D6" s="2" t="s">
        <v>0</v>
      </c>
      <c r="X6" s="16"/>
    </row>
    <row r="7" ht="20.25" spans="3:24">
      <c r="C7" s="47" t="s">
        <v>1</v>
      </c>
      <c r="D7" s="48"/>
      <c r="E7" s="57" t="s">
        <v>2</v>
      </c>
      <c r="F7" s="50"/>
      <c r="G7" s="48"/>
      <c r="H7" s="48"/>
      <c r="I7" s="48"/>
      <c r="J7" s="54"/>
      <c r="X7" s="16"/>
    </row>
    <row r="8" ht="20.25" spans="3:24">
      <c r="C8" s="47" t="s">
        <v>3</v>
      </c>
      <c r="D8" s="48"/>
      <c r="E8" s="57" t="s">
        <v>4</v>
      </c>
      <c r="F8" s="50"/>
      <c r="G8" s="48"/>
      <c r="H8" s="48"/>
      <c r="I8" s="48"/>
      <c r="J8" s="54"/>
      <c r="X8" s="16"/>
    </row>
    <row r="9" ht="20.25" spans="3:24">
      <c r="C9" s="47" t="s">
        <v>5</v>
      </c>
      <c r="D9" s="48"/>
      <c r="E9" s="57" t="s">
        <v>258</v>
      </c>
      <c r="F9" s="51" t="s">
        <v>259</v>
      </c>
      <c r="G9" s="51" t="s">
        <v>8</v>
      </c>
      <c r="H9" s="48"/>
      <c r="I9" s="48"/>
      <c r="J9" s="54"/>
      <c r="X9" s="16"/>
    </row>
    <row r="10" ht="20.25" spans="3:24">
      <c r="C10" s="47" t="s">
        <v>9</v>
      </c>
      <c r="D10" s="48"/>
      <c r="E10" s="57" t="s">
        <v>260</v>
      </c>
      <c r="F10" s="50"/>
      <c r="G10" s="48"/>
      <c r="H10" s="48"/>
      <c r="I10" s="48"/>
      <c r="J10" s="54"/>
      <c r="X10" s="16"/>
    </row>
    <row r="11" ht="20.25" spans="3:24">
      <c r="C11" s="47" t="s">
        <v>11</v>
      </c>
      <c r="D11" s="52"/>
      <c r="E11" s="57" t="s">
        <v>261</v>
      </c>
      <c r="F11" s="49" t="s">
        <v>13</v>
      </c>
      <c r="G11" s="49"/>
      <c r="H11" s="52"/>
      <c r="I11" s="55"/>
      <c r="J11" s="55"/>
      <c r="X11" s="16"/>
    </row>
    <row r="12" spans="3:24">
      <c r="C12" s="3"/>
      <c r="E12" s="5"/>
      <c r="F12" s="5"/>
      <c r="G12" s="29"/>
      <c r="H12" s="59" t="s">
        <v>262</v>
      </c>
      <c r="J12" s="9"/>
      <c r="X12" s="16"/>
    </row>
    <row r="13" spans="1:29">
      <c r="A13" s="10" t="s">
        <v>14</v>
      </c>
      <c r="B13" s="10" t="s">
        <v>15</v>
      </c>
      <c r="C13" s="10" t="s">
        <v>16</v>
      </c>
      <c r="D13" s="10" t="s">
        <v>17</v>
      </c>
      <c r="E13" s="30" t="s">
        <v>18</v>
      </c>
      <c r="F13" s="30" t="s">
        <v>19</v>
      </c>
      <c r="G13" s="30" t="s">
        <v>13</v>
      </c>
      <c r="H13" s="30" t="s">
        <v>20</v>
      </c>
      <c r="I13" s="30" t="s">
        <v>21</v>
      </c>
      <c r="J13" s="30" t="s">
        <v>22</v>
      </c>
      <c r="K13" s="30" t="s">
        <v>23</v>
      </c>
      <c r="L13" s="30" t="s">
        <v>24</v>
      </c>
      <c r="M13" s="30" t="s">
        <v>25</v>
      </c>
      <c r="N13" s="30" t="s">
        <v>26</v>
      </c>
      <c r="O13" s="30" t="s">
        <v>27</v>
      </c>
      <c r="P13" s="30" t="s">
        <v>28</v>
      </c>
      <c r="Q13" s="30" t="s">
        <v>29</v>
      </c>
      <c r="R13" s="30" t="s">
        <v>30</v>
      </c>
      <c r="S13" s="30" t="s">
        <v>31</v>
      </c>
      <c r="T13" s="30" t="s">
        <v>32</v>
      </c>
      <c r="U13" s="30" t="s">
        <v>33</v>
      </c>
      <c r="V13" s="30" t="s">
        <v>34</v>
      </c>
      <c r="W13" s="30" t="s">
        <v>35</v>
      </c>
      <c r="X13" s="37" t="s">
        <v>36</v>
      </c>
      <c r="Y13" s="39" t="s">
        <v>37</v>
      </c>
      <c r="Z13" s="30" t="s">
        <v>38</v>
      </c>
      <c r="AA13" s="39" t="s">
        <v>39</v>
      </c>
      <c r="AB13" s="30" t="s">
        <v>40</v>
      </c>
      <c r="AC13" s="39" t="s">
        <v>41</v>
      </c>
    </row>
    <row r="14" spans="1:29">
      <c r="A14" s="31">
        <v>1</v>
      </c>
      <c r="B14" s="58" t="s">
        <v>263</v>
      </c>
      <c r="C14" s="33" t="s">
        <v>264</v>
      </c>
      <c r="D14" s="33" t="s">
        <v>48</v>
      </c>
      <c r="E14" s="32" t="s">
        <v>45</v>
      </c>
      <c r="F14" s="53">
        <v>39011</v>
      </c>
      <c r="G14" s="34"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/>
      <c r="T14" s="12"/>
      <c r="U14" s="12"/>
      <c r="V14" s="11">
        <f>COUNTIF(H14:U14,"+")</f>
        <v>0</v>
      </c>
      <c r="W14" s="11">
        <f>COUNTIF(H14:U14,"-")</f>
        <v>0</v>
      </c>
      <c r="X14" s="38">
        <f>7+V14-W14</f>
        <v>7</v>
      </c>
      <c r="Y14" s="40">
        <f>IF(X14&gt;10,10,X14)</f>
        <v>7</v>
      </c>
      <c r="Z14" s="38">
        <f t="shared" ref="Z14:Z77" si="0">VLOOKUP(G14,BANG2,2,0)</f>
        <v>0</v>
      </c>
      <c r="AA14" s="41">
        <f>IF(Z14&gt;10,10,Z14)</f>
        <v>0</v>
      </c>
      <c r="AB14" s="38"/>
      <c r="AC14" s="42">
        <f>IF(AB14&gt;10,10,AB14)</f>
        <v>0</v>
      </c>
    </row>
    <row r="15" spans="1:29">
      <c r="A15" s="31">
        <v>2</v>
      </c>
      <c r="B15" s="58" t="s">
        <v>265</v>
      </c>
      <c r="C15" s="33" t="s">
        <v>266</v>
      </c>
      <c r="D15" s="33" t="s">
        <v>48</v>
      </c>
      <c r="E15" s="32" t="s">
        <v>45</v>
      </c>
      <c r="F15" s="53">
        <v>38871</v>
      </c>
      <c r="G15" s="34">
        <v>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/>
      <c r="T15" s="12"/>
      <c r="U15" s="12"/>
      <c r="V15" s="11">
        <f t="shared" ref="V15:V78" si="1">COUNTIF(H15:U15,"+")</f>
        <v>0</v>
      </c>
      <c r="W15" s="11">
        <f t="shared" ref="W15:W78" si="2">COUNTIF(H15:U15,"-")</f>
        <v>0</v>
      </c>
      <c r="X15" s="38">
        <f t="shared" ref="X15:X78" si="3">7+V15-W15</f>
        <v>7</v>
      </c>
      <c r="Y15" s="40">
        <f t="shared" ref="Y15:Y78" si="4">IF(X15&gt;10,10,X15)</f>
        <v>7</v>
      </c>
      <c r="Z15" s="38">
        <f t="shared" si="0"/>
        <v>0</v>
      </c>
      <c r="AA15" s="41">
        <f t="shared" ref="AA15:AA78" si="5">IF(Z15&gt;10,10,Z15)</f>
        <v>0</v>
      </c>
      <c r="AB15" s="38"/>
      <c r="AC15" s="42">
        <f t="shared" ref="AC15:AC78" si="6">IF(AB15&gt;10,10,AB15)</f>
        <v>0</v>
      </c>
    </row>
    <row r="16" spans="1:29">
      <c r="A16" s="31">
        <v>3</v>
      </c>
      <c r="B16" s="58" t="s">
        <v>267</v>
      </c>
      <c r="C16" s="33" t="s">
        <v>268</v>
      </c>
      <c r="D16" s="33" t="s">
        <v>269</v>
      </c>
      <c r="E16" s="32" t="s">
        <v>67</v>
      </c>
      <c r="F16" s="53">
        <v>38813</v>
      </c>
      <c r="G16" s="34">
        <v>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/>
      <c r="T16" s="12"/>
      <c r="U16" s="12"/>
      <c r="V16" s="11">
        <f t="shared" si="1"/>
        <v>0</v>
      </c>
      <c r="W16" s="11">
        <f t="shared" si="2"/>
        <v>0</v>
      </c>
      <c r="X16" s="38">
        <f t="shared" si="3"/>
        <v>7</v>
      </c>
      <c r="Y16" s="40">
        <f t="shared" si="4"/>
        <v>7</v>
      </c>
      <c r="Z16" s="38">
        <f t="shared" si="0"/>
        <v>0</v>
      </c>
      <c r="AA16" s="41">
        <f t="shared" si="5"/>
        <v>0</v>
      </c>
      <c r="AB16" s="38"/>
      <c r="AC16" s="42">
        <f t="shared" si="6"/>
        <v>0</v>
      </c>
    </row>
    <row r="17" spans="1:29">
      <c r="A17" s="31">
        <v>4</v>
      </c>
      <c r="B17" s="58" t="s">
        <v>270</v>
      </c>
      <c r="C17" s="33" t="s">
        <v>271</v>
      </c>
      <c r="D17" s="33" t="s">
        <v>272</v>
      </c>
      <c r="E17" s="32" t="s">
        <v>45</v>
      </c>
      <c r="F17" s="53">
        <v>38829</v>
      </c>
      <c r="G17" s="34">
        <v>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1">
        <f t="shared" si="1"/>
        <v>0</v>
      </c>
      <c r="W17" s="11">
        <f t="shared" si="2"/>
        <v>0</v>
      </c>
      <c r="X17" s="38">
        <f t="shared" si="3"/>
        <v>7</v>
      </c>
      <c r="Y17" s="40">
        <f t="shared" si="4"/>
        <v>7</v>
      </c>
      <c r="Z17" s="38">
        <f t="shared" si="0"/>
        <v>0</v>
      </c>
      <c r="AA17" s="41">
        <f t="shared" si="5"/>
        <v>0</v>
      </c>
      <c r="AB17" s="38"/>
      <c r="AC17" s="42">
        <f t="shared" si="6"/>
        <v>0</v>
      </c>
    </row>
    <row r="18" spans="1:29">
      <c r="A18" s="31">
        <v>5</v>
      </c>
      <c r="B18" s="58" t="s">
        <v>273</v>
      </c>
      <c r="C18" s="33" t="s">
        <v>274</v>
      </c>
      <c r="D18" s="33" t="s">
        <v>272</v>
      </c>
      <c r="E18" s="32" t="s">
        <v>45</v>
      </c>
      <c r="F18" s="53">
        <v>37806</v>
      </c>
      <c r="G18" s="34">
        <v>1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2"/>
      <c r="T18" s="12"/>
      <c r="U18" s="12"/>
      <c r="V18" s="11">
        <f t="shared" si="1"/>
        <v>0</v>
      </c>
      <c r="W18" s="11">
        <f t="shared" si="2"/>
        <v>0</v>
      </c>
      <c r="X18" s="38">
        <f t="shared" si="3"/>
        <v>7</v>
      </c>
      <c r="Y18" s="40">
        <f t="shared" si="4"/>
        <v>7</v>
      </c>
      <c r="Z18" s="38">
        <f t="shared" si="0"/>
        <v>0</v>
      </c>
      <c r="AA18" s="41">
        <f t="shared" si="5"/>
        <v>0</v>
      </c>
      <c r="AB18" s="38"/>
      <c r="AC18" s="42">
        <f t="shared" si="6"/>
        <v>0</v>
      </c>
    </row>
    <row r="19" spans="1:29">
      <c r="A19" s="31">
        <v>6</v>
      </c>
      <c r="B19" s="58" t="s">
        <v>275</v>
      </c>
      <c r="C19" s="33" t="s">
        <v>276</v>
      </c>
      <c r="D19" s="33" t="s">
        <v>272</v>
      </c>
      <c r="E19" s="32" t="s">
        <v>45</v>
      </c>
      <c r="F19" s="53">
        <v>38825</v>
      </c>
      <c r="G19" s="35">
        <v>2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2"/>
      <c r="T19" s="12"/>
      <c r="U19" s="12"/>
      <c r="V19" s="11">
        <f t="shared" si="1"/>
        <v>0</v>
      </c>
      <c r="W19" s="11">
        <f t="shared" si="2"/>
        <v>0</v>
      </c>
      <c r="X19" s="38">
        <f t="shared" si="3"/>
        <v>7</v>
      </c>
      <c r="Y19" s="40">
        <f t="shared" si="4"/>
        <v>7</v>
      </c>
      <c r="Z19" s="38">
        <f t="shared" si="0"/>
        <v>0</v>
      </c>
      <c r="AA19" s="41">
        <f t="shared" si="5"/>
        <v>0</v>
      </c>
      <c r="AB19" s="38"/>
      <c r="AC19" s="42">
        <f t="shared" si="6"/>
        <v>0</v>
      </c>
    </row>
    <row r="20" spans="1:29">
      <c r="A20" s="31">
        <v>7</v>
      </c>
      <c r="B20" s="58" t="s">
        <v>277</v>
      </c>
      <c r="C20" s="33" t="s">
        <v>278</v>
      </c>
      <c r="D20" s="33" t="s">
        <v>272</v>
      </c>
      <c r="E20" s="32" t="s">
        <v>45</v>
      </c>
      <c r="F20" s="53">
        <v>38270</v>
      </c>
      <c r="G20" s="35">
        <v>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  <c r="T20" s="12"/>
      <c r="U20" s="12"/>
      <c r="V20" s="11">
        <f t="shared" si="1"/>
        <v>0</v>
      </c>
      <c r="W20" s="11">
        <f t="shared" si="2"/>
        <v>0</v>
      </c>
      <c r="X20" s="38">
        <f t="shared" si="3"/>
        <v>7</v>
      </c>
      <c r="Y20" s="40">
        <f t="shared" si="4"/>
        <v>7</v>
      </c>
      <c r="Z20" s="38">
        <f t="shared" si="0"/>
        <v>0</v>
      </c>
      <c r="AA20" s="41">
        <f t="shared" si="5"/>
        <v>0</v>
      </c>
      <c r="AB20" s="38"/>
      <c r="AC20" s="42">
        <f t="shared" si="6"/>
        <v>0</v>
      </c>
    </row>
    <row r="21" spans="1:29">
      <c r="A21" s="31">
        <v>8</v>
      </c>
      <c r="B21" s="58" t="s">
        <v>279</v>
      </c>
      <c r="C21" s="33" t="s">
        <v>280</v>
      </c>
      <c r="D21" s="33" t="s">
        <v>272</v>
      </c>
      <c r="E21" s="32" t="s">
        <v>45</v>
      </c>
      <c r="F21" s="53">
        <v>38967</v>
      </c>
      <c r="G21" s="35">
        <v>2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2"/>
      <c r="T21" s="12"/>
      <c r="U21" s="12"/>
      <c r="V21" s="11">
        <f t="shared" si="1"/>
        <v>0</v>
      </c>
      <c r="W21" s="11">
        <f t="shared" si="2"/>
        <v>0</v>
      </c>
      <c r="X21" s="38">
        <f t="shared" si="3"/>
        <v>7</v>
      </c>
      <c r="Y21" s="40">
        <f t="shared" si="4"/>
        <v>7</v>
      </c>
      <c r="Z21" s="38">
        <f t="shared" si="0"/>
        <v>0</v>
      </c>
      <c r="AA21" s="41">
        <f t="shared" si="5"/>
        <v>0</v>
      </c>
      <c r="AB21" s="38"/>
      <c r="AC21" s="42">
        <f t="shared" si="6"/>
        <v>0</v>
      </c>
    </row>
    <row r="22" spans="1:29">
      <c r="A22" s="31">
        <v>9</v>
      </c>
      <c r="B22" s="58" t="s">
        <v>281</v>
      </c>
      <c r="C22" s="33" t="s">
        <v>282</v>
      </c>
      <c r="D22" s="33" t="s">
        <v>272</v>
      </c>
      <c r="E22" s="32" t="s">
        <v>45</v>
      </c>
      <c r="F22" s="53">
        <v>38950</v>
      </c>
      <c r="G22" s="35">
        <v>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  <c r="T22" s="12"/>
      <c r="U22" s="12"/>
      <c r="V22" s="11">
        <f t="shared" si="1"/>
        <v>0</v>
      </c>
      <c r="W22" s="11">
        <f t="shared" si="2"/>
        <v>0</v>
      </c>
      <c r="X22" s="38">
        <f t="shared" si="3"/>
        <v>7</v>
      </c>
      <c r="Y22" s="40">
        <f t="shared" si="4"/>
        <v>7</v>
      </c>
      <c r="Z22" s="38">
        <f t="shared" si="0"/>
        <v>0</v>
      </c>
      <c r="AA22" s="41">
        <f t="shared" si="5"/>
        <v>0</v>
      </c>
      <c r="AB22" s="38"/>
      <c r="AC22" s="42">
        <f t="shared" si="6"/>
        <v>0</v>
      </c>
    </row>
    <row r="23" spans="1:29">
      <c r="A23" s="31">
        <v>10</v>
      </c>
      <c r="B23" s="58" t="s">
        <v>283</v>
      </c>
      <c r="C23" s="33" t="s">
        <v>284</v>
      </c>
      <c r="D23" s="33" t="s">
        <v>272</v>
      </c>
      <c r="E23" s="32" t="s">
        <v>45</v>
      </c>
      <c r="F23" s="53">
        <v>37894</v>
      </c>
      <c r="G23" s="35">
        <v>2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  <c r="T23" s="12"/>
      <c r="U23" s="12"/>
      <c r="V23" s="11">
        <f t="shared" si="1"/>
        <v>0</v>
      </c>
      <c r="W23" s="11">
        <f t="shared" si="2"/>
        <v>0</v>
      </c>
      <c r="X23" s="38">
        <f t="shared" si="3"/>
        <v>7</v>
      </c>
      <c r="Y23" s="40">
        <f t="shared" si="4"/>
        <v>7</v>
      </c>
      <c r="Z23" s="38">
        <f t="shared" si="0"/>
        <v>0</v>
      </c>
      <c r="AA23" s="41">
        <f t="shared" si="5"/>
        <v>0</v>
      </c>
      <c r="AB23" s="38"/>
      <c r="AC23" s="42">
        <f t="shared" si="6"/>
        <v>0</v>
      </c>
    </row>
    <row r="24" spans="1:29">
      <c r="A24" s="31">
        <v>11</v>
      </c>
      <c r="B24" s="58" t="s">
        <v>285</v>
      </c>
      <c r="C24" s="33" t="s">
        <v>286</v>
      </c>
      <c r="D24" s="33" t="s">
        <v>272</v>
      </c>
      <c r="E24" s="32" t="s">
        <v>45</v>
      </c>
      <c r="F24" s="53">
        <v>38829</v>
      </c>
      <c r="G24" s="34">
        <v>3</v>
      </c>
      <c r="H24" s="11"/>
      <c r="I24" s="56" t="s">
        <v>58</v>
      </c>
      <c r="J24" s="11"/>
      <c r="K24" s="11"/>
      <c r="L24" s="11"/>
      <c r="M24" s="11"/>
      <c r="N24" s="11"/>
      <c r="O24" s="11"/>
      <c r="P24" s="11"/>
      <c r="Q24" s="11"/>
      <c r="R24" s="11"/>
      <c r="S24" s="12"/>
      <c r="T24" s="12"/>
      <c r="U24" s="12"/>
      <c r="V24" s="11">
        <f t="shared" si="1"/>
        <v>1</v>
      </c>
      <c r="W24" s="11">
        <f t="shared" si="2"/>
        <v>0</v>
      </c>
      <c r="X24" s="38">
        <f t="shared" si="3"/>
        <v>8</v>
      </c>
      <c r="Y24" s="40">
        <f t="shared" si="4"/>
        <v>8</v>
      </c>
      <c r="Z24" s="38">
        <f t="shared" si="0"/>
        <v>0</v>
      </c>
      <c r="AA24" s="41">
        <f t="shared" si="5"/>
        <v>0</v>
      </c>
      <c r="AB24" s="38"/>
      <c r="AC24" s="42">
        <f t="shared" si="6"/>
        <v>0</v>
      </c>
    </row>
    <row r="25" spans="1:29">
      <c r="A25" s="31">
        <v>12</v>
      </c>
      <c r="B25" s="58" t="s">
        <v>287</v>
      </c>
      <c r="C25" s="33" t="s">
        <v>116</v>
      </c>
      <c r="D25" s="33" t="s">
        <v>288</v>
      </c>
      <c r="E25" s="32" t="s">
        <v>45</v>
      </c>
      <c r="F25" s="53">
        <v>38718</v>
      </c>
      <c r="G25" s="34">
        <v>3</v>
      </c>
      <c r="H25" s="11"/>
      <c r="I25" s="56" t="s">
        <v>58</v>
      </c>
      <c r="J25" s="11"/>
      <c r="K25" s="11"/>
      <c r="L25" s="11"/>
      <c r="M25" s="11"/>
      <c r="N25" s="11"/>
      <c r="O25" s="11"/>
      <c r="P25" s="11"/>
      <c r="Q25" s="11"/>
      <c r="R25" s="11"/>
      <c r="S25" s="12"/>
      <c r="T25" s="12"/>
      <c r="U25" s="12"/>
      <c r="V25" s="11">
        <f t="shared" si="1"/>
        <v>1</v>
      </c>
      <c r="W25" s="11">
        <f t="shared" si="2"/>
        <v>0</v>
      </c>
      <c r="X25" s="38">
        <f t="shared" si="3"/>
        <v>8</v>
      </c>
      <c r="Y25" s="40">
        <f t="shared" si="4"/>
        <v>8</v>
      </c>
      <c r="Z25" s="38">
        <f t="shared" si="0"/>
        <v>0</v>
      </c>
      <c r="AA25" s="41">
        <f t="shared" si="5"/>
        <v>0</v>
      </c>
      <c r="AB25" s="38"/>
      <c r="AC25" s="42">
        <f t="shared" si="6"/>
        <v>0</v>
      </c>
    </row>
    <row r="26" spans="1:29">
      <c r="A26" s="31">
        <v>13</v>
      </c>
      <c r="B26" s="58" t="s">
        <v>289</v>
      </c>
      <c r="C26" s="33" t="s">
        <v>290</v>
      </c>
      <c r="D26" s="33" t="s">
        <v>291</v>
      </c>
      <c r="E26" s="32" t="s">
        <v>45</v>
      </c>
      <c r="F26" s="53">
        <v>38981</v>
      </c>
      <c r="G26" s="34">
        <v>3</v>
      </c>
      <c r="H26" s="11" t="s">
        <v>292</v>
      </c>
      <c r="I26" s="56" t="s">
        <v>58</v>
      </c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  <c r="U26" s="12"/>
      <c r="V26" s="11">
        <f t="shared" si="1"/>
        <v>1</v>
      </c>
      <c r="W26" s="11">
        <f t="shared" si="2"/>
        <v>0</v>
      </c>
      <c r="X26" s="38">
        <f t="shared" si="3"/>
        <v>8</v>
      </c>
      <c r="Y26" s="40">
        <f t="shared" si="4"/>
        <v>8</v>
      </c>
      <c r="Z26" s="38">
        <f t="shared" si="0"/>
        <v>0</v>
      </c>
      <c r="AA26" s="41">
        <f t="shared" si="5"/>
        <v>0</v>
      </c>
      <c r="AB26" s="38"/>
      <c r="AC26" s="42">
        <f t="shared" si="6"/>
        <v>0</v>
      </c>
    </row>
    <row r="27" spans="1:29">
      <c r="A27" s="31">
        <v>14</v>
      </c>
      <c r="B27" s="58" t="s">
        <v>293</v>
      </c>
      <c r="C27" s="33" t="s">
        <v>294</v>
      </c>
      <c r="D27" s="33" t="s">
        <v>295</v>
      </c>
      <c r="E27" s="32" t="s">
        <v>45</v>
      </c>
      <c r="F27" s="53">
        <v>38962</v>
      </c>
      <c r="G27" s="34">
        <v>3</v>
      </c>
      <c r="H27" s="11"/>
      <c r="I27" s="56" t="s">
        <v>58</v>
      </c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2"/>
      <c r="U27" s="12"/>
      <c r="V27" s="11">
        <f t="shared" si="1"/>
        <v>1</v>
      </c>
      <c r="W27" s="11">
        <f t="shared" si="2"/>
        <v>0</v>
      </c>
      <c r="X27" s="38">
        <f t="shared" si="3"/>
        <v>8</v>
      </c>
      <c r="Y27" s="40">
        <f t="shared" si="4"/>
        <v>8</v>
      </c>
      <c r="Z27" s="38">
        <f t="shared" si="0"/>
        <v>0</v>
      </c>
      <c r="AA27" s="41">
        <f t="shared" si="5"/>
        <v>0</v>
      </c>
      <c r="AB27" s="38"/>
      <c r="AC27" s="42">
        <f t="shared" si="6"/>
        <v>0</v>
      </c>
    </row>
    <row r="28" spans="1:29">
      <c r="A28" s="31">
        <v>15</v>
      </c>
      <c r="B28" s="58" t="s">
        <v>296</v>
      </c>
      <c r="C28" s="33" t="s">
        <v>297</v>
      </c>
      <c r="D28" s="33" t="s">
        <v>295</v>
      </c>
      <c r="E28" s="32" t="s">
        <v>45</v>
      </c>
      <c r="F28" s="53">
        <v>38659</v>
      </c>
      <c r="G28" s="34">
        <v>3</v>
      </c>
      <c r="H28" s="11"/>
      <c r="I28" s="56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2"/>
      <c r="U28" s="12"/>
      <c r="V28" s="11">
        <f t="shared" si="1"/>
        <v>1</v>
      </c>
      <c r="W28" s="11">
        <f t="shared" si="2"/>
        <v>0</v>
      </c>
      <c r="X28" s="38">
        <f t="shared" si="3"/>
        <v>8</v>
      </c>
      <c r="Y28" s="40">
        <f t="shared" si="4"/>
        <v>8</v>
      </c>
      <c r="Z28" s="38">
        <f t="shared" si="0"/>
        <v>0</v>
      </c>
      <c r="AA28" s="41">
        <f t="shared" si="5"/>
        <v>0</v>
      </c>
      <c r="AB28" s="38"/>
      <c r="AC28" s="42">
        <f t="shared" si="6"/>
        <v>0</v>
      </c>
    </row>
    <row r="29" spans="1:29">
      <c r="A29" s="31">
        <v>16</v>
      </c>
      <c r="B29" s="58" t="s">
        <v>298</v>
      </c>
      <c r="C29" s="33" t="s">
        <v>299</v>
      </c>
      <c r="D29" s="33" t="s">
        <v>73</v>
      </c>
      <c r="E29" s="32" t="s">
        <v>45</v>
      </c>
      <c r="F29" s="53">
        <v>39008</v>
      </c>
      <c r="G29" s="35">
        <v>4</v>
      </c>
      <c r="H29" s="11"/>
      <c r="I29" s="56" t="s">
        <v>58</v>
      </c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2"/>
      <c r="U29" s="12"/>
      <c r="V29" s="11">
        <f t="shared" si="1"/>
        <v>1</v>
      </c>
      <c r="W29" s="11">
        <f t="shared" si="2"/>
        <v>0</v>
      </c>
      <c r="X29" s="38">
        <f t="shared" si="3"/>
        <v>8</v>
      </c>
      <c r="Y29" s="40">
        <f t="shared" si="4"/>
        <v>8</v>
      </c>
      <c r="Z29" s="38">
        <f t="shared" si="0"/>
        <v>0</v>
      </c>
      <c r="AA29" s="41">
        <f t="shared" si="5"/>
        <v>0</v>
      </c>
      <c r="AB29" s="38"/>
      <c r="AC29" s="42">
        <f t="shared" si="6"/>
        <v>0</v>
      </c>
    </row>
    <row r="30" spans="1:29">
      <c r="A30" s="31">
        <v>17</v>
      </c>
      <c r="B30" s="58" t="s">
        <v>300</v>
      </c>
      <c r="C30" s="33" t="s">
        <v>301</v>
      </c>
      <c r="D30" s="33" t="s">
        <v>79</v>
      </c>
      <c r="E30" s="32" t="s">
        <v>45</v>
      </c>
      <c r="F30" s="53">
        <v>38831</v>
      </c>
      <c r="G30" s="35">
        <v>4</v>
      </c>
      <c r="H30" s="11"/>
      <c r="I30" s="56" t="s">
        <v>58</v>
      </c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12"/>
      <c r="U30" s="12"/>
      <c r="V30" s="11">
        <f t="shared" si="1"/>
        <v>1</v>
      </c>
      <c r="W30" s="11">
        <f t="shared" si="2"/>
        <v>0</v>
      </c>
      <c r="X30" s="38">
        <f t="shared" si="3"/>
        <v>8</v>
      </c>
      <c r="Y30" s="40">
        <f t="shared" si="4"/>
        <v>8</v>
      </c>
      <c r="Z30" s="38">
        <f t="shared" si="0"/>
        <v>0</v>
      </c>
      <c r="AA30" s="41">
        <f t="shared" si="5"/>
        <v>0</v>
      </c>
      <c r="AB30" s="38"/>
      <c r="AC30" s="42">
        <f t="shared" si="6"/>
        <v>0</v>
      </c>
    </row>
    <row r="31" spans="1:29">
      <c r="A31" s="31">
        <v>18</v>
      </c>
      <c r="B31" s="58" t="s">
        <v>302</v>
      </c>
      <c r="C31" s="33" t="s">
        <v>303</v>
      </c>
      <c r="D31" s="33" t="s">
        <v>304</v>
      </c>
      <c r="E31" s="32" t="s">
        <v>45</v>
      </c>
      <c r="F31" s="53">
        <v>39016</v>
      </c>
      <c r="G31" s="35">
        <v>4</v>
      </c>
      <c r="H31" s="11"/>
      <c r="I31" s="56" t="s">
        <v>58</v>
      </c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12"/>
      <c r="U31" s="12"/>
      <c r="V31" s="11">
        <f t="shared" si="1"/>
        <v>1</v>
      </c>
      <c r="W31" s="11">
        <f t="shared" si="2"/>
        <v>0</v>
      </c>
      <c r="X31" s="38">
        <f t="shared" si="3"/>
        <v>8</v>
      </c>
      <c r="Y31" s="40">
        <f t="shared" si="4"/>
        <v>8</v>
      </c>
      <c r="Z31" s="38">
        <f t="shared" si="0"/>
        <v>0</v>
      </c>
      <c r="AA31" s="41">
        <f t="shared" si="5"/>
        <v>0</v>
      </c>
      <c r="AB31" s="38"/>
      <c r="AC31" s="42">
        <f t="shared" si="6"/>
        <v>0</v>
      </c>
    </row>
    <row r="32" spans="1:29">
      <c r="A32" s="31">
        <v>19</v>
      </c>
      <c r="B32" s="58" t="s">
        <v>305</v>
      </c>
      <c r="C32" s="33" t="s">
        <v>306</v>
      </c>
      <c r="D32" s="33" t="s">
        <v>307</v>
      </c>
      <c r="E32" s="32" t="s">
        <v>45</v>
      </c>
      <c r="F32" s="53">
        <v>38787</v>
      </c>
      <c r="G32" s="35">
        <v>4</v>
      </c>
      <c r="H32" s="11" t="s">
        <v>58</v>
      </c>
      <c r="I32" s="56" t="s">
        <v>58</v>
      </c>
      <c r="J32" s="11"/>
      <c r="K32" s="11"/>
      <c r="L32" s="11"/>
      <c r="M32" s="11"/>
      <c r="N32" s="11"/>
      <c r="O32" s="11"/>
      <c r="P32" s="11"/>
      <c r="Q32" s="11"/>
      <c r="R32" s="11"/>
      <c r="S32" s="12"/>
      <c r="T32" s="12"/>
      <c r="U32" s="12"/>
      <c r="V32" s="11">
        <f t="shared" si="1"/>
        <v>2</v>
      </c>
      <c r="W32" s="11">
        <f t="shared" si="2"/>
        <v>0</v>
      </c>
      <c r="X32" s="38">
        <f t="shared" si="3"/>
        <v>9</v>
      </c>
      <c r="Y32" s="40">
        <f t="shared" si="4"/>
        <v>9</v>
      </c>
      <c r="Z32" s="38">
        <f t="shared" si="0"/>
        <v>0</v>
      </c>
      <c r="AA32" s="41">
        <f t="shared" si="5"/>
        <v>0</v>
      </c>
      <c r="AB32" s="38"/>
      <c r="AC32" s="42">
        <f t="shared" si="6"/>
        <v>0</v>
      </c>
    </row>
    <row r="33" spans="1:29">
      <c r="A33" s="31">
        <v>20</v>
      </c>
      <c r="B33" s="58" t="s">
        <v>308</v>
      </c>
      <c r="C33" s="33" t="s">
        <v>43</v>
      </c>
      <c r="D33" s="33" t="s">
        <v>307</v>
      </c>
      <c r="E33" s="32" t="s">
        <v>45</v>
      </c>
      <c r="F33" s="53">
        <v>38929</v>
      </c>
      <c r="G33" s="35">
        <v>4</v>
      </c>
      <c r="H33" s="11"/>
      <c r="I33" s="56" t="s">
        <v>58</v>
      </c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12"/>
      <c r="U33" s="12"/>
      <c r="V33" s="11">
        <f t="shared" si="1"/>
        <v>1</v>
      </c>
      <c r="W33" s="11">
        <f t="shared" si="2"/>
        <v>0</v>
      </c>
      <c r="X33" s="38">
        <f t="shared" si="3"/>
        <v>8</v>
      </c>
      <c r="Y33" s="40">
        <f t="shared" si="4"/>
        <v>8</v>
      </c>
      <c r="Z33" s="38">
        <f t="shared" si="0"/>
        <v>0</v>
      </c>
      <c r="AA33" s="41">
        <f t="shared" si="5"/>
        <v>0</v>
      </c>
      <c r="AB33" s="38"/>
      <c r="AC33" s="42">
        <f t="shared" si="6"/>
        <v>0</v>
      </c>
    </row>
    <row r="34" spans="1:29">
      <c r="A34" s="31">
        <v>21</v>
      </c>
      <c r="B34" s="58" t="s">
        <v>309</v>
      </c>
      <c r="C34" s="33" t="s">
        <v>310</v>
      </c>
      <c r="D34" s="33" t="s">
        <v>98</v>
      </c>
      <c r="E34" s="32" t="s">
        <v>45</v>
      </c>
      <c r="F34" s="53">
        <v>37775</v>
      </c>
      <c r="G34" s="34">
        <v>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/>
      <c r="T34" s="12"/>
      <c r="U34" s="12"/>
      <c r="V34" s="11">
        <f t="shared" si="1"/>
        <v>0</v>
      </c>
      <c r="W34" s="11">
        <f t="shared" si="2"/>
        <v>0</v>
      </c>
      <c r="X34" s="38">
        <f t="shared" si="3"/>
        <v>7</v>
      </c>
      <c r="Y34" s="40">
        <f t="shared" si="4"/>
        <v>7</v>
      </c>
      <c r="Z34" s="38">
        <f t="shared" si="0"/>
        <v>0</v>
      </c>
      <c r="AA34" s="41">
        <f t="shared" si="5"/>
        <v>0</v>
      </c>
      <c r="AB34" s="38"/>
      <c r="AC34" s="42">
        <f t="shared" si="6"/>
        <v>0</v>
      </c>
    </row>
    <row r="35" spans="1:29">
      <c r="A35" s="31">
        <v>22</v>
      </c>
      <c r="B35" s="58" t="s">
        <v>311</v>
      </c>
      <c r="C35" s="33" t="s">
        <v>312</v>
      </c>
      <c r="D35" s="33" t="s">
        <v>101</v>
      </c>
      <c r="E35" s="32" t="s">
        <v>45</v>
      </c>
      <c r="F35" s="53">
        <v>37891</v>
      </c>
      <c r="G35" s="34">
        <v>5</v>
      </c>
      <c r="H35" s="11"/>
      <c r="I35" s="11" t="s">
        <v>58</v>
      </c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12"/>
      <c r="U35" s="12"/>
      <c r="V35" s="11">
        <f t="shared" si="1"/>
        <v>1</v>
      </c>
      <c r="W35" s="11">
        <f t="shared" si="2"/>
        <v>0</v>
      </c>
      <c r="X35" s="38">
        <f t="shared" si="3"/>
        <v>8</v>
      </c>
      <c r="Y35" s="40">
        <f t="shared" si="4"/>
        <v>8</v>
      </c>
      <c r="Z35" s="38">
        <f t="shared" si="0"/>
        <v>0</v>
      </c>
      <c r="AA35" s="41">
        <f t="shared" si="5"/>
        <v>0</v>
      </c>
      <c r="AB35" s="38"/>
      <c r="AC35" s="42">
        <f t="shared" si="6"/>
        <v>0</v>
      </c>
    </row>
    <row r="36" spans="1:29">
      <c r="A36" s="31">
        <v>23</v>
      </c>
      <c r="B36" s="58" t="s">
        <v>313</v>
      </c>
      <c r="C36" s="33" t="s">
        <v>314</v>
      </c>
      <c r="D36" s="33" t="s">
        <v>315</v>
      </c>
      <c r="E36" s="32" t="s">
        <v>45</v>
      </c>
      <c r="F36" s="53">
        <v>37616</v>
      </c>
      <c r="G36" s="34">
        <v>5</v>
      </c>
      <c r="H36" s="11"/>
      <c r="I36" s="11" t="s">
        <v>58</v>
      </c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12"/>
      <c r="U36" s="12"/>
      <c r="V36" s="11">
        <f t="shared" si="1"/>
        <v>1</v>
      </c>
      <c r="W36" s="11">
        <f t="shared" si="2"/>
        <v>0</v>
      </c>
      <c r="X36" s="38">
        <f t="shared" si="3"/>
        <v>8</v>
      </c>
      <c r="Y36" s="40">
        <f t="shared" si="4"/>
        <v>8</v>
      </c>
      <c r="Z36" s="38">
        <f t="shared" si="0"/>
        <v>0</v>
      </c>
      <c r="AA36" s="41">
        <f t="shared" si="5"/>
        <v>0</v>
      </c>
      <c r="AB36" s="38"/>
      <c r="AC36" s="42">
        <f t="shared" si="6"/>
        <v>0</v>
      </c>
    </row>
    <row r="37" spans="1:29">
      <c r="A37" s="31">
        <v>24</v>
      </c>
      <c r="B37" s="58" t="s">
        <v>316</v>
      </c>
      <c r="C37" s="33" t="s">
        <v>317</v>
      </c>
      <c r="D37" s="33" t="s">
        <v>104</v>
      </c>
      <c r="E37" s="32" t="s">
        <v>45</v>
      </c>
      <c r="F37" s="53">
        <v>37549</v>
      </c>
      <c r="G37" s="34">
        <v>5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12"/>
      <c r="U37" s="12"/>
      <c r="V37" s="11">
        <f t="shared" si="1"/>
        <v>0</v>
      </c>
      <c r="W37" s="11">
        <f t="shared" si="2"/>
        <v>0</v>
      </c>
      <c r="X37" s="38">
        <f t="shared" si="3"/>
        <v>7</v>
      </c>
      <c r="Y37" s="40">
        <f t="shared" si="4"/>
        <v>7</v>
      </c>
      <c r="Z37" s="38">
        <f t="shared" si="0"/>
        <v>0</v>
      </c>
      <c r="AA37" s="41">
        <f t="shared" si="5"/>
        <v>0</v>
      </c>
      <c r="AB37" s="38"/>
      <c r="AC37" s="42">
        <f t="shared" si="6"/>
        <v>0</v>
      </c>
    </row>
    <row r="38" spans="1:29">
      <c r="A38" s="31">
        <v>25</v>
      </c>
      <c r="B38" s="58" t="s">
        <v>318</v>
      </c>
      <c r="C38" s="33" t="s">
        <v>319</v>
      </c>
      <c r="D38" s="33" t="s">
        <v>320</v>
      </c>
      <c r="E38" s="32" t="s">
        <v>45</v>
      </c>
      <c r="F38" s="53">
        <v>38734</v>
      </c>
      <c r="G38" s="34">
        <v>5</v>
      </c>
      <c r="H38" s="11"/>
      <c r="I38" s="11" t="s">
        <v>58</v>
      </c>
      <c r="J38" s="11"/>
      <c r="K38" s="11"/>
      <c r="L38" s="11"/>
      <c r="M38" s="11"/>
      <c r="N38" s="11"/>
      <c r="O38" s="11"/>
      <c r="P38" s="11"/>
      <c r="Q38" s="11"/>
      <c r="R38" s="11"/>
      <c r="S38" s="12"/>
      <c r="T38" s="12"/>
      <c r="U38" s="12"/>
      <c r="V38" s="11">
        <f t="shared" si="1"/>
        <v>1</v>
      </c>
      <c r="W38" s="11">
        <f t="shared" si="2"/>
        <v>0</v>
      </c>
      <c r="X38" s="38">
        <f t="shared" si="3"/>
        <v>8</v>
      </c>
      <c r="Y38" s="40">
        <f t="shared" si="4"/>
        <v>8</v>
      </c>
      <c r="Z38" s="38">
        <f t="shared" si="0"/>
        <v>0</v>
      </c>
      <c r="AA38" s="41">
        <f t="shared" si="5"/>
        <v>0</v>
      </c>
      <c r="AB38" s="38"/>
      <c r="AC38" s="42">
        <f t="shared" si="6"/>
        <v>0</v>
      </c>
    </row>
    <row r="39" spans="1:29">
      <c r="A39" s="31">
        <v>26</v>
      </c>
      <c r="B39" s="58" t="s">
        <v>321</v>
      </c>
      <c r="C39" s="33" t="s">
        <v>56</v>
      </c>
      <c r="D39" s="33" t="s">
        <v>122</v>
      </c>
      <c r="E39" s="32" t="s">
        <v>45</v>
      </c>
      <c r="F39" s="53">
        <v>38772</v>
      </c>
      <c r="G39" s="35">
        <v>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/>
      <c r="T39" s="12"/>
      <c r="U39" s="12"/>
      <c r="V39" s="11">
        <f t="shared" si="1"/>
        <v>0</v>
      </c>
      <c r="W39" s="11">
        <f t="shared" si="2"/>
        <v>0</v>
      </c>
      <c r="X39" s="38">
        <f t="shared" si="3"/>
        <v>7</v>
      </c>
      <c r="Y39" s="40">
        <f t="shared" si="4"/>
        <v>7</v>
      </c>
      <c r="Z39" s="38">
        <f t="shared" si="0"/>
        <v>0</v>
      </c>
      <c r="AA39" s="41">
        <f t="shared" si="5"/>
        <v>0</v>
      </c>
      <c r="AB39" s="38"/>
      <c r="AC39" s="42">
        <f t="shared" si="6"/>
        <v>0</v>
      </c>
    </row>
    <row r="40" spans="1:29">
      <c r="A40" s="31">
        <v>27</v>
      </c>
      <c r="B40" s="58" t="s">
        <v>322</v>
      </c>
      <c r="C40" s="33" t="s">
        <v>323</v>
      </c>
      <c r="D40" s="33" t="s">
        <v>130</v>
      </c>
      <c r="E40" s="32" t="s">
        <v>45</v>
      </c>
      <c r="F40" s="53">
        <v>37639</v>
      </c>
      <c r="G40" s="35">
        <v>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/>
      <c r="T40" s="12"/>
      <c r="U40" s="12"/>
      <c r="V40" s="11">
        <f t="shared" si="1"/>
        <v>0</v>
      </c>
      <c r="W40" s="11">
        <f t="shared" si="2"/>
        <v>0</v>
      </c>
      <c r="X40" s="38">
        <f t="shared" si="3"/>
        <v>7</v>
      </c>
      <c r="Y40" s="40">
        <f t="shared" si="4"/>
        <v>7</v>
      </c>
      <c r="Z40" s="38">
        <f t="shared" si="0"/>
        <v>0</v>
      </c>
      <c r="AA40" s="41">
        <f t="shared" si="5"/>
        <v>0</v>
      </c>
      <c r="AB40" s="38"/>
      <c r="AC40" s="42">
        <f t="shared" si="6"/>
        <v>0</v>
      </c>
    </row>
    <row r="41" spans="1:29">
      <c r="A41" s="31">
        <v>28</v>
      </c>
      <c r="B41" s="58" t="s">
        <v>324</v>
      </c>
      <c r="C41" s="33" t="s">
        <v>278</v>
      </c>
      <c r="D41" s="33" t="s">
        <v>130</v>
      </c>
      <c r="E41" s="32" t="s">
        <v>45</v>
      </c>
      <c r="F41" s="53">
        <v>38939</v>
      </c>
      <c r="G41" s="35">
        <v>6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12"/>
      <c r="U41" s="12"/>
      <c r="V41" s="11">
        <f t="shared" si="1"/>
        <v>0</v>
      </c>
      <c r="W41" s="11">
        <f t="shared" si="2"/>
        <v>0</v>
      </c>
      <c r="X41" s="38">
        <f t="shared" si="3"/>
        <v>7</v>
      </c>
      <c r="Y41" s="40">
        <f t="shared" si="4"/>
        <v>7</v>
      </c>
      <c r="Z41" s="38">
        <f t="shared" si="0"/>
        <v>0</v>
      </c>
      <c r="AA41" s="41">
        <f t="shared" si="5"/>
        <v>0</v>
      </c>
      <c r="AB41" s="38"/>
      <c r="AC41" s="42">
        <f t="shared" si="6"/>
        <v>0</v>
      </c>
    </row>
    <row r="42" spans="1:29">
      <c r="A42" s="31">
        <v>29</v>
      </c>
      <c r="B42" s="58" t="s">
        <v>325</v>
      </c>
      <c r="C42" s="33" t="s">
        <v>326</v>
      </c>
      <c r="D42" s="33" t="s">
        <v>327</v>
      </c>
      <c r="E42" s="32" t="s">
        <v>67</v>
      </c>
      <c r="F42" s="53">
        <v>38083</v>
      </c>
      <c r="G42" s="35">
        <v>6</v>
      </c>
      <c r="H42" s="11" t="s">
        <v>58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  <c r="T42" s="12"/>
      <c r="U42" s="12"/>
      <c r="V42" s="11">
        <f t="shared" si="1"/>
        <v>1</v>
      </c>
      <c r="W42" s="11">
        <f t="shared" si="2"/>
        <v>0</v>
      </c>
      <c r="X42" s="38">
        <f t="shared" si="3"/>
        <v>8</v>
      </c>
      <c r="Y42" s="40">
        <f t="shared" si="4"/>
        <v>8</v>
      </c>
      <c r="Z42" s="38">
        <f t="shared" si="0"/>
        <v>0</v>
      </c>
      <c r="AA42" s="41">
        <f t="shared" si="5"/>
        <v>0</v>
      </c>
      <c r="AB42" s="38"/>
      <c r="AC42" s="42">
        <f t="shared" si="6"/>
        <v>0</v>
      </c>
    </row>
    <row r="43" spans="1:29">
      <c r="A43" s="31">
        <v>30</v>
      </c>
      <c r="B43" s="58" t="s">
        <v>328</v>
      </c>
      <c r="C43" s="33" t="s">
        <v>75</v>
      </c>
      <c r="D43" s="33" t="s">
        <v>329</v>
      </c>
      <c r="E43" s="32" t="s">
        <v>45</v>
      </c>
      <c r="F43" s="53">
        <v>37320</v>
      </c>
      <c r="G43" s="35">
        <v>6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2"/>
      <c r="U43" s="12"/>
      <c r="V43" s="11">
        <f t="shared" si="1"/>
        <v>0</v>
      </c>
      <c r="W43" s="11">
        <f t="shared" si="2"/>
        <v>0</v>
      </c>
      <c r="X43" s="38">
        <f t="shared" si="3"/>
        <v>7</v>
      </c>
      <c r="Y43" s="40">
        <f t="shared" si="4"/>
        <v>7</v>
      </c>
      <c r="Z43" s="38">
        <f t="shared" si="0"/>
        <v>0</v>
      </c>
      <c r="AA43" s="41">
        <f t="shared" si="5"/>
        <v>0</v>
      </c>
      <c r="AB43" s="38"/>
      <c r="AC43" s="42">
        <f t="shared" si="6"/>
        <v>0</v>
      </c>
    </row>
    <row r="44" spans="1:29">
      <c r="A44" s="31">
        <v>31</v>
      </c>
      <c r="B44" s="58" t="s">
        <v>330</v>
      </c>
      <c r="C44" s="33" t="s">
        <v>278</v>
      </c>
      <c r="D44" s="33" t="s">
        <v>331</v>
      </c>
      <c r="E44" s="32" t="s">
        <v>45</v>
      </c>
      <c r="F44" s="53">
        <v>38719</v>
      </c>
      <c r="G44" s="34">
        <v>7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  <c r="T44" s="12"/>
      <c r="U44" s="12"/>
      <c r="V44" s="11">
        <f t="shared" si="1"/>
        <v>0</v>
      </c>
      <c r="W44" s="11">
        <f t="shared" si="2"/>
        <v>0</v>
      </c>
      <c r="X44" s="38">
        <f t="shared" si="3"/>
        <v>7</v>
      </c>
      <c r="Y44" s="40">
        <f t="shared" si="4"/>
        <v>7</v>
      </c>
      <c r="Z44" s="38">
        <f t="shared" si="0"/>
        <v>0</v>
      </c>
      <c r="AA44" s="41">
        <f t="shared" si="5"/>
        <v>0</v>
      </c>
      <c r="AB44" s="38"/>
      <c r="AC44" s="42">
        <f t="shared" si="6"/>
        <v>0</v>
      </c>
    </row>
    <row r="45" spans="1:29">
      <c r="A45" s="31">
        <v>32</v>
      </c>
      <c r="B45" s="58" t="s">
        <v>332</v>
      </c>
      <c r="C45" s="33" t="s">
        <v>333</v>
      </c>
      <c r="D45" s="33" t="s">
        <v>334</v>
      </c>
      <c r="E45" s="32" t="s">
        <v>45</v>
      </c>
      <c r="F45" s="53">
        <v>38789</v>
      </c>
      <c r="G45" s="34">
        <v>7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2"/>
      <c r="U45" s="12"/>
      <c r="V45" s="11">
        <f t="shared" si="1"/>
        <v>0</v>
      </c>
      <c r="W45" s="11">
        <f t="shared" si="2"/>
        <v>0</v>
      </c>
      <c r="X45" s="38">
        <f t="shared" si="3"/>
        <v>7</v>
      </c>
      <c r="Y45" s="40">
        <f t="shared" si="4"/>
        <v>7</v>
      </c>
      <c r="Z45" s="38">
        <f t="shared" si="0"/>
        <v>0</v>
      </c>
      <c r="AA45" s="41">
        <f t="shared" si="5"/>
        <v>0</v>
      </c>
      <c r="AB45" s="38"/>
      <c r="AC45" s="42">
        <f t="shared" si="6"/>
        <v>0</v>
      </c>
    </row>
    <row r="46" spans="1:29">
      <c r="A46" s="31">
        <v>33</v>
      </c>
      <c r="B46" s="58" t="s">
        <v>335</v>
      </c>
      <c r="C46" s="33" t="s">
        <v>336</v>
      </c>
      <c r="D46" s="33" t="s">
        <v>147</v>
      </c>
      <c r="E46" s="32" t="s">
        <v>45</v>
      </c>
      <c r="F46" s="53">
        <v>37722</v>
      </c>
      <c r="G46" s="34">
        <v>7</v>
      </c>
      <c r="H46" s="11" t="s">
        <v>337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  <c r="T46" s="12"/>
      <c r="U46" s="12"/>
      <c r="V46" s="11">
        <f t="shared" si="1"/>
        <v>0</v>
      </c>
      <c r="W46" s="11">
        <f t="shared" si="2"/>
        <v>0</v>
      </c>
      <c r="X46" s="38">
        <f t="shared" si="3"/>
        <v>7</v>
      </c>
      <c r="Y46" s="40">
        <f t="shared" si="4"/>
        <v>7</v>
      </c>
      <c r="Z46" s="38">
        <f t="shared" si="0"/>
        <v>0</v>
      </c>
      <c r="AA46" s="41">
        <f t="shared" si="5"/>
        <v>0</v>
      </c>
      <c r="AB46" s="38"/>
      <c r="AC46" s="42">
        <f t="shared" si="6"/>
        <v>0</v>
      </c>
    </row>
    <row r="47" spans="1:29">
      <c r="A47" s="31">
        <v>34</v>
      </c>
      <c r="B47" s="58" t="s">
        <v>338</v>
      </c>
      <c r="C47" s="33" t="s">
        <v>336</v>
      </c>
      <c r="D47" s="33" t="s">
        <v>147</v>
      </c>
      <c r="E47" s="32" t="s">
        <v>45</v>
      </c>
      <c r="F47" s="53">
        <v>39017</v>
      </c>
      <c r="G47" s="34">
        <v>7</v>
      </c>
      <c r="H47" s="11" t="s">
        <v>58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/>
      <c r="T47" s="12"/>
      <c r="U47" s="12"/>
      <c r="V47" s="11">
        <f t="shared" si="1"/>
        <v>1</v>
      </c>
      <c r="W47" s="11">
        <f t="shared" si="2"/>
        <v>0</v>
      </c>
      <c r="X47" s="38">
        <f t="shared" si="3"/>
        <v>8</v>
      </c>
      <c r="Y47" s="40">
        <f t="shared" si="4"/>
        <v>8</v>
      </c>
      <c r="Z47" s="38">
        <f t="shared" si="0"/>
        <v>0</v>
      </c>
      <c r="AA47" s="41">
        <f t="shared" si="5"/>
        <v>0</v>
      </c>
      <c r="AB47" s="38"/>
      <c r="AC47" s="42">
        <f t="shared" si="6"/>
        <v>0</v>
      </c>
    </row>
    <row r="48" spans="1:29">
      <c r="A48" s="31">
        <v>35</v>
      </c>
      <c r="B48" s="58" t="s">
        <v>339</v>
      </c>
      <c r="C48" s="33" t="s">
        <v>340</v>
      </c>
      <c r="D48" s="33" t="s">
        <v>341</v>
      </c>
      <c r="E48" s="32" t="s">
        <v>45</v>
      </c>
      <c r="F48" s="53">
        <v>38900</v>
      </c>
      <c r="G48" s="35">
        <v>8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/>
      <c r="T48" s="12"/>
      <c r="U48" s="12"/>
      <c r="V48" s="11">
        <f t="shared" si="1"/>
        <v>0</v>
      </c>
      <c r="W48" s="11">
        <f t="shared" si="2"/>
        <v>0</v>
      </c>
      <c r="X48" s="38">
        <f t="shared" si="3"/>
        <v>7</v>
      </c>
      <c r="Y48" s="40">
        <f t="shared" si="4"/>
        <v>7</v>
      </c>
      <c r="Z48" s="38">
        <f t="shared" si="0"/>
        <v>0</v>
      </c>
      <c r="AA48" s="41">
        <f t="shared" si="5"/>
        <v>0</v>
      </c>
      <c r="AB48" s="38"/>
      <c r="AC48" s="42">
        <f t="shared" si="6"/>
        <v>0</v>
      </c>
    </row>
    <row r="49" spans="1:29">
      <c r="A49" s="31">
        <v>36</v>
      </c>
      <c r="B49" s="58" t="s">
        <v>342</v>
      </c>
      <c r="C49" s="33" t="s">
        <v>343</v>
      </c>
      <c r="D49" s="33" t="s">
        <v>344</v>
      </c>
      <c r="E49" s="32" t="s">
        <v>45</v>
      </c>
      <c r="F49" s="53">
        <v>38987</v>
      </c>
      <c r="G49" s="35">
        <v>8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  <c r="U49" s="12"/>
      <c r="V49" s="11">
        <f t="shared" si="1"/>
        <v>0</v>
      </c>
      <c r="W49" s="11">
        <f t="shared" si="2"/>
        <v>0</v>
      </c>
      <c r="X49" s="38">
        <f t="shared" si="3"/>
        <v>7</v>
      </c>
      <c r="Y49" s="40">
        <f t="shared" si="4"/>
        <v>7</v>
      </c>
      <c r="Z49" s="38">
        <f t="shared" si="0"/>
        <v>0</v>
      </c>
      <c r="AA49" s="41">
        <f t="shared" si="5"/>
        <v>0</v>
      </c>
      <c r="AB49" s="38"/>
      <c r="AC49" s="42">
        <f t="shared" si="6"/>
        <v>0</v>
      </c>
    </row>
    <row r="50" spans="1:29">
      <c r="A50" s="31">
        <v>37</v>
      </c>
      <c r="B50" s="58" t="s">
        <v>345</v>
      </c>
      <c r="C50" s="33" t="s">
        <v>346</v>
      </c>
      <c r="D50" s="33" t="s">
        <v>344</v>
      </c>
      <c r="E50" s="32" t="s">
        <v>45</v>
      </c>
      <c r="F50" s="53">
        <v>39030</v>
      </c>
      <c r="G50" s="35">
        <v>8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  <c r="U50" s="12"/>
      <c r="V50" s="11">
        <f t="shared" si="1"/>
        <v>0</v>
      </c>
      <c r="W50" s="11">
        <f t="shared" si="2"/>
        <v>0</v>
      </c>
      <c r="X50" s="38">
        <f t="shared" si="3"/>
        <v>7</v>
      </c>
      <c r="Y50" s="40">
        <f t="shared" si="4"/>
        <v>7</v>
      </c>
      <c r="Z50" s="38">
        <f t="shared" si="0"/>
        <v>0</v>
      </c>
      <c r="AA50" s="41">
        <f t="shared" si="5"/>
        <v>0</v>
      </c>
      <c r="AB50" s="38"/>
      <c r="AC50" s="42">
        <f t="shared" si="6"/>
        <v>0</v>
      </c>
    </row>
    <row r="51" spans="1:29">
      <c r="A51" s="31">
        <v>38</v>
      </c>
      <c r="B51" s="58" t="s">
        <v>347</v>
      </c>
      <c r="C51" s="33" t="s">
        <v>348</v>
      </c>
      <c r="D51" s="33" t="s">
        <v>164</v>
      </c>
      <c r="E51" s="32" t="s">
        <v>45</v>
      </c>
      <c r="F51" s="53">
        <v>37410</v>
      </c>
      <c r="G51" s="35">
        <v>8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  <c r="U51" s="12"/>
      <c r="V51" s="11">
        <f t="shared" si="1"/>
        <v>0</v>
      </c>
      <c r="W51" s="11">
        <f t="shared" si="2"/>
        <v>0</v>
      </c>
      <c r="X51" s="38">
        <f t="shared" si="3"/>
        <v>7</v>
      </c>
      <c r="Y51" s="40">
        <f t="shared" si="4"/>
        <v>7</v>
      </c>
      <c r="Z51" s="38">
        <f t="shared" si="0"/>
        <v>0</v>
      </c>
      <c r="AA51" s="41">
        <f t="shared" si="5"/>
        <v>0</v>
      </c>
      <c r="AB51" s="38"/>
      <c r="AC51" s="42">
        <f t="shared" si="6"/>
        <v>0</v>
      </c>
    </row>
    <row r="52" spans="1:29">
      <c r="A52" s="31">
        <v>39</v>
      </c>
      <c r="B52" s="58" t="s">
        <v>349</v>
      </c>
      <c r="C52" s="33" t="s">
        <v>350</v>
      </c>
      <c r="D52" s="33" t="s">
        <v>164</v>
      </c>
      <c r="E52" s="32" t="s">
        <v>45</v>
      </c>
      <c r="F52" s="53">
        <v>38805</v>
      </c>
      <c r="G52" s="34">
        <v>9</v>
      </c>
      <c r="H52" s="11"/>
      <c r="I52" s="56" t="s">
        <v>58</v>
      </c>
      <c r="J52" s="11"/>
      <c r="K52" s="11"/>
      <c r="L52" s="11"/>
      <c r="M52" s="11"/>
      <c r="N52" s="11"/>
      <c r="O52" s="11"/>
      <c r="P52" s="11"/>
      <c r="Q52" s="11"/>
      <c r="R52" s="11"/>
      <c r="S52" s="12"/>
      <c r="T52" s="12"/>
      <c r="U52" s="12"/>
      <c r="V52" s="11">
        <f t="shared" si="1"/>
        <v>1</v>
      </c>
      <c r="W52" s="11">
        <f t="shared" si="2"/>
        <v>0</v>
      </c>
      <c r="X52" s="38">
        <f t="shared" si="3"/>
        <v>8</v>
      </c>
      <c r="Y52" s="40">
        <f t="shared" si="4"/>
        <v>8</v>
      </c>
      <c r="Z52" s="38">
        <f t="shared" si="0"/>
        <v>0</v>
      </c>
      <c r="AA52" s="41">
        <f t="shared" si="5"/>
        <v>0</v>
      </c>
      <c r="AB52" s="38"/>
      <c r="AC52" s="42">
        <f t="shared" si="6"/>
        <v>0</v>
      </c>
    </row>
    <row r="53" spans="1:29">
      <c r="A53" s="31">
        <v>40</v>
      </c>
      <c r="B53" s="58" t="s">
        <v>351</v>
      </c>
      <c r="C53" s="33" t="s">
        <v>129</v>
      </c>
      <c r="D53" s="33" t="s">
        <v>169</v>
      </c>
      <c r="E53" s="32" t="s">
        <v>45</v>
      </c>
      <c r="F53" s="53">
        <v>37790</v>
      </c>
      <c r="G53" s="34">
        <v>9</v>
      </c>
      <c r="H53" s="11"/>
      <c r="I53" s="56" t="s">
        <v>58</v>
      </c>
      <c r="J53" s="11"/>
      <c r="K53" s="11"/>
      <c r="L53" s="11"/>
      <c r="M53" s="11"/>
      <c r="N53" s="11"/>
      <c r="O53" s="11"/>
      <c r="P53" s="11"/>
      <c r="Q53" s="11"/>
      <c r="R53" s="11"/>
      <c r="S53" s="12"/>
      <c r="T53" s="12"/>
      <c r="U53" s="12"/>
      <c r="V53" s="11">
        <f t="shared" si="1"/>
        <v>1</v>
      </c>
      <c r="W53" s="11">
        <f t="shared" si="2"/>
        <v>0</v>
      </c>
      <c r="X53" s="38">
        <f t="shared" si="3"/>
        <v>8</v>
      </c>
      <c r="Y53" s="40">
        <f t="shared" si="4"/>
        <v>8</v>
      </c>
      <c r="Z53" s="38">
        <f t="shared" si="0"/>
        <v>0</v>
      </c>
      <c r="AA53" s="41">
        <f t="shared" si="5"/>
        <v>0</v>
      </c>
      <c r="AB53" s="38"/>
      <c r="AC53" s="42">
        <f t="shared" si="6"/>
        <v>0</v>
      </c>
    </row>
    <row r="54" spans="1:29">
      <c r="A54" s="31">
        <v>41</v>
      </c>
      <c r="B54" s="58" t="s">
        <v>352</v>
      </c>
      <c r="C54" s="33" t="s">
        <v>353</v>
      </c>
      <c r="D54" s="33" t="s">
        <v>45</v>
      </c>
      <c r="E54" s="32" t="s">
        <v>45</v>
      </c>
      <c r="F54" s="53">
        <v>37632</v>
      </c>
      <c r="G54" s="34">
        <v>9</v>
      </c>
      <c r="H54" s="11"/>
      <c r="I54" s="56" t="s">
        <v>58</v>
      </c>
      <c r="J54" s="11"/>
      <c r="K54" s="11"/>
      <c r="L54" s="11"/>
      <c r="M54" s="11"/>
      <c r="N54" s="11"/>
      <c r="O54" s="11"/>
      <c r="P54" s="11"/>
      <c r="Q54" s="11"/>
      <c r="R54" s="11"/>
      <c r="S54" s="12"/>
      <c r="T54" s="12"/>
      <c r="U54" s="12"/>
      <c r="V54" s="11">
        <f t="shared" si="1"/>
        <v>1</v>
      </c>
      <c r="W54" s="11">
        <f t="shared" si="2"/>
        <v>0</v>
      </c>
      <c r="X54" s="38">
        <f t="shared" si="3"/>
        <v>8</v>
      </c>
      <c r="Y54" s="40">
        <f t="shared" si="4"/>
        <v>8</v>
      </c>
      <c r="Z54" s="38">
        <f t="shared" si="0"/>
        <v>0</v>
      </c>
      <c r="AA54" s="41">
        <f t="shared" si="5"/>
        <v>0</v>
      </c>
      <c r="AB54" s="38"/>
      <c r="AC54" s="42">
        <f t="shared" si="6"/>
        <v>0</v>
      </c>
    </row>
    <row r="55" spans="1:29">
      <c r="A55" s="31">
        <v>42</v>
      </c>
      <c r="B55" s="58" t="s">
        <v>354</v>
      </c>
      <c r="C55" s="33" t="s">
        <v>173</v>
      </c>
      <c r="D55" s="33" t="s">
        <v>45</v>
      </c>
      <c r="E55" s="32" t="s">
        <v>45</v>
      </c>
      <c r="F55" s="53">
        <v>38846</v>
      </c>
      <c r="G55" s="34">
        <v>9</v>
      </c>
      <c r="H55" s="11"/>
      <c r="I55" s="56" t="s">
        <v>58</v>
      </c>
      <c r="J55" s="11"/>
      <c r="K55" s="11"/>
      <c r="L55" s="11"/>
      <c r="M55" s="11"/>
      <c r="N55" s="11"/>
      <c r="O55" s="11"/>
      <c r="P55" s="11"/>
      <c r="Q55" s="11"/>
      <c r="R55" s="11"/>
      <c r="S55" s="12"/>
      <c r="T55" s="12"/>
      <c r="U55" s="12"/>
      <c r="V55" s="11">
        <f t="shared" si="1"/>
        <v>1</v>
      </c>
      <c r="W55" s="11">
        <f t="shared" si="2"/>
        <v>0</v>
      </c>
      <c r="X55" s="38">
        <f t="shared" si="3"/>
        <v>8</v>
      </c>
      <c r="Y55" s="40">
        <f t="shared" si="4"/>
        <v>8</v>
      </c>
      <c r="Z55" s="38">
        <f t="shared" si="0"/>
        <v>0</v>
      </c>
      <c r="AA55" s="41">
        <f t="shared" si="5"/>
        <v>0</v>
      </c>
      <c r="AB55" s="38"/>
      <c r="AC55" s="42">
        <f t="shared" si="6"/>
        <v>0</v>
      </c>
    </row>
    <row r="56" spans="1:29">
      <c r="A56" s="31">
        <v>43</v>
      </c>
      <c r="B56" s="58" t="s">
        <v>355</v>
      </c>
      <c r="C56" s="33" t="s">
        <v>356</v>
      </c>
      <c r="D56" s="33" t="s">
        <v>357</v>
      </c>
      <c r="E56" s="32" t="s">
        <v>45</v>
      </c>
      <c r="F56" s="53">
        <v>38843</v>
      </c>
      <c r="G56" s="34">
        <v>9</v>
      </c>
      <c r="H56" s="11" t="s">
        <v>58</v>
      </c>
      <c r="I56" s="56" t="s">
        <v>58</v>
      </c>
      <c r="J56" s="11"/>
      <c r="K56" s="11"/>
      <c r="L56" s="11"/>
      <c r="M56" s="11"/>
      <c r="N56" s="11"/>
      <c r="O56" s="11"/>
      <c r="P56" s="11"/>
      <c r="Q56" s="11"/>
      <c r="R56" s="11"/>
      <c r="S56" s="12"/>
      <c r="T56" s="12"/>
      <c r="U56" s="12"/>
      <c r="V56" s="11">
        <f t="shared" si="1"/>
        <v>2</v>
      </c>
      <c r="W56" s="11">
        <f t="shared" si="2"/>
        <v>0</v>
      </c>
      <c r="X56" s="38">
        <f t="shared" si="3"/>
        <v>9</v>
      </c>
      <c r="Y56" s="40">
        <f t="shared" si="4"/>
        <v>9</v>
      </c>
      <c r="Z56" s="38">
        <f t="shared" si="0"/>
        <v>0</v>
      </c>
      <c r="AA56" s="41">
        <f t="shared" si="5"/>
        <v>0</v>
      </c>
      <c r="AB56" s="38"/>
      <c r="AC56" s="42">
        <f t="shared" si="6"/>
        <v>0</v>
      </c>
    </row>
    <row r="57" spans="1:29">
      <c r="A57" s="31">
        <v>44</v>
      </c>
      <c r="B57" s="58" t="s">
        <v>358</v>
      </c>
      <c r="C57" s="33" t="s">
        <v>124</v>
      </c>
      <c r="D57" s="33" t="s">
        <v>359</v>
      </c>
      <c r="E57" s="32" t="s">
        <v>45</v>
      </c>
      <c r="F57" s="53">
        <v>38577</v>
      </c>
      <c r="G57" s="35">
        <v>10</v>
      </c>
      <c r="H57" s="11"/>
      <c r="I57" s="11" t="s">
        <v>58</v>
      </c>
      <c r="J57" s="11"/>
      <c r="K57" s="11"/>
      <c r="L57" s="11"/>
      <c r="M57" s="11"/>
      <c r="N57" s="11"/>
      <c r="O57" s="11"/>
      <c r="P57" s="11"/>
      <c r="Q57" s="11"/>
      <c r="R57" s="11"/>
      <c r="S57" s="12"/>
      <c r="T57" s="12"/>
      <c r="U57" s="12"/>
      <c r="V57" s="11">
        <f t="shared" si="1"/>
        <v>1</v>
      </c>
      <c r="W57" s="11">
        <f t="shared" si="2"/>
        <v>0</v>
      </c>
      <c r="X57" s="38">
        <f t="shared" si="3"/>
        <v>8</v>
      </c>
      <c r="Y57" s="40">
        <f t="shared" si="4"/>
        <v>8</v>
      </c>
      <c r="Z57" s="38">
        <f t="shared" si="0"/>
        <v>0</v>
      </c>
      <c r="AA57" s="41">
        <f t="shared" si="5"/>
        <v>0</v>
      </c>
      <c r="AB57" s="38"/>
      <c r="AC57" s="42">
        <f t="shared" si="6"/>
        <v>0</v>
      </c>
    </row>
    <row r="58" spans="1:29">
      <c r="A58" s="31">
        <v>45</v>
      </c>
      <c r="B58" s="58" t="s">
        <v>360</v>
      </c>
      <c r="C58" s="33" t="s">
        <v>361</v>
      </c>
      <c r="D58" s="33" t="s">
        <v>362</v>
      </c>
      <c r="E58" s="32" t="s">
        <v>45</v>
      </c>
      <c r="F58" s="53">
        <v>38924</v>
      </c>
      <c r="G58" s="35">
        <v>10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2"/>
      <c r="T58" s="12"/>
      <c r="U58" s="12"/>
      <c r="V58" s="11">
        <f t="shared" si="1"/>
        <v>0</v>
      </c>
      <c r="W58" s="11">
        <f t="shared" si="2"/>
        <v>0</v>
      </c>
      <c r="X58" s="38">
        <f t="shared" si="3"/>
        <v>7</v>
      </c>
      <c r="Y58" s="40">
        <f t="shared" si="4"/>
        <v>7</v>
      </c>
      <c r="Z58" s="38">
        <f t="shared" si="0"/>
        <v>0</v>
      </c>
      <c r="AA58" s="41">
        <f t="shared" si="5"/>
        <v>0</v>
      </c>
      <c r="AB58" s="38"/>
      <c r="AC58" s="42">
        <f t="shared" si="6"/>
        <v>0</v>
      </c>
    </row>
    <row r="59" spans="1:29">
      <c r="A59" s="31">
        <v>46</v>
      </c>
      <c r="B59" s="58" t="s">
        <v>363</v>
      </c>
      <c r="C59" s="33" t="s">
        <v>364</v>
      </c>
      <c r="D59" s="33" t="s">
        <v>186</v>
      </c>
      <c r="E59" s="32" t="s">
        <v>45</v>
      </c>
      <c r="F59" s="53">
        <v>38718</v>
      </c>
      <c r="G59" s="35">
        <v>10</v>
      </c>
      <c r="H59" s="11"/>
      <c r="I59" s="11" t="s">
        <v>58</v>
      </c>
      <c r="J59" s="11"/>
      <c r="K59" s="11"/>
      <c r="L59" s="11"/>
      <c r="M59" s="11"/>
      <c r="N59" s="11"/>
      <c r="O59" s="11"/>
      <c r="P59" s="11"/>
      <c r="Q59" s="11"/>
      <c r="R59" s="11"/>
      <c r="S59" s="12"/>
      <c r="T59" s="12"/>
      <c r="U59" s="12"/>
      <c r="V59" s="11">
        <f t="shared" si="1"/>
        <v>1</v>
      </c>
      <c r="W59" s="11">
        <f t="shared" si="2"/>
        <v>0</v>
      </c>
      <c r="X59" s="38">
        <f t="shared" si="3"/>
        <v>8</v>
      </c>
      <c r="Y59" s="40">
        <f t="shared" si="4"/>
        <v>8</v>
      </c>
      <c r="Z59" s="38">
        <f t="shared" si="0"/>
        <v>0</v>
      </c>
      <c r="AA59" s="41">
        <f t="shared" si="5"/>
        <v>0</v>
      </c>
      <c r="AB59" s="38"/>
      <c r="AC59" s="42">
        <f t="shared" si="6"/>
        <v>0</v>
      </c>
    </row>
    <row r="60" spans="1:29">
      <c r="A60" s="31">
        <v>47</v>
      </c>
      <c r="B60" s="58" t="s">
        <v>365</v>
      </c>
      <c r="C60" s="33" t="s">
        <v>366</v>
      </c>
      <c r="D60" s="33" t="s">
        <v>186</v>
      </c>
      <c r="E60" s="32" t="s">
        <v>45</v>
      </c>
      <c r="F60" s="53">
        <v>38994</v>
      </c>
      <c r="G60" s="35">
        <v>10</v>
      </c>
      <c r="H60" s="11"/>
      <c r="I60" s="11" t="s">
        <v>58</v>
      </c>
      <c r="J60" s="11"/>
      <c r="K60" s="11"/>
      <c r="L60" s="11"/>
      <c r="M60" s="11"/>
      <c r="N60" s="11"/>
      <c r="O60" s="11"/>
      <c r="P60" s="11"/>
      <c r="Q60" s="11"/>
      <c r="R60" s="11"/>
      <c r="S60" s="12"/>
      <c r="T60" s="12"/>
      <c r="U60" s="12"/>
      <c r="V60" s="11">
        <f t="shared" si="1"/>
        <v>1</v>
      </c>
      <c r="W60" s="11">
        <f t="shared" si="2"/>
        <v>0</v>
      </c>
      <c r="X60" s="38">
        <f t="shared" si="3"/>
        <v>8</v>
      </c>
      <c r="Y60" s="40">
        <f t="shared" si="4"/>
        <v>8</v>
      </c>
      <c r="Z60" s="38">
        <f t="shared" si="0"/>
        <v>0</v>
      </c>
      <c r="AA60" s="41">
        <f t="shared" si="5"/>
        <v>0</v>
      </c>
      <c r="AB60" s="38"/>
      <c r="AC60" s="42">
        <f t="shared" si="6"/>
        <v>0</v>
      </c>
    </row>
    <row r="61" spans="1:29">
      <c r="A61" s="31">
        <v>48</v>
      </c>
      <c r="B61" s="58" t="s">
        <v>367</v>
      </c>
      <c r="C61" s="33" t="s">
        <v>368</v>
      </c>
      <c r="D61" s="33" t="s">
        <v>369</v>
      </c>
      <c r="E61" s="32" t="s">
        <v>45</v>
      </c>
      <c r="F61" s="53">
        <v>38835</v>
      </c>
      <c r="G61" s="35">
        <v>10</v>
      </c>
      <c r="H61" s="11"/>
      <c r="I61" s="11" t="s">
        <v>58</v>
      </c>
      <c r="J61" s="11"/>
      <c r="K61" s="11"/>
      <c r="L61" s="11"/>
      <c r="M61" s="11"/>
      <c r="N61" s="11"/>
      <c r="O61" s="11"/>
      <c r="P61" s="11"/>
      <c r="Q61" s="11"/>
      <c r="R61" s="11"/>
      <c r="S61" s="12"/>
      <c r="T61" s="12"/>
      <c r="U61" s="12"/>
      <c r="V61" s="11">
        <f t="shared" si="1"/>
        <v>1</v>
      </c>
      <c r="W61" s="11">
        <f t="shared" si="2"/>
        <v>0</v>
      </c>
      <c r="X61" s="38">
        <f t="shared" si="3"/>
        <v>8</v>
      </c>
      <c r="Y61" s="40">
        <f t="shared" si="4"/>
        <v>8</v>
      </c>
      <c r="Z61" s="38">
        <f t="shared" si="0"/>
        <v>0</v>
      </c>
      <c r="AA61" s="41">
        <f t="shared" si="5"/>
        <v>0</v>
      </c>
      <c r="AB61" s="38"/>
      <c r="AC61" s="42">
        <f t="shared" si="6"/>
        <v>0</v>
      </c>
    </row>
    <row r="62" spans="1:29">
      <c r="A62" s="31">
        <v>49</v>
      </c>
      <c r="B62" s="58" t="s">
        <v>370</v>
      </c>
      <c r="C62" s="33" t="s">
        <v>371</v>
      </c>
      <c r="D62" s="33" t="s">
        <v>372</v>
      </c>
      <c r="E62" s="32" t="s">
        <v>45</v>
      </c>
      <c r="F62" s="53">
        <v>39068</v>
      </c>
      <c r="G62" s="34">
        <v>11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2"/>
      <c r="T62" s="12"/>
      <c r="U62" s="12"/>
      <c r="V62" s="11">
        <f t="shared" si="1"/>
        <v>0</v>
      </c>
      <c r="W62" s="11">
        <f t="shared" si="2"/>
        <v>0</v>
      </c>
      <c r="X62" s="38">
        <f t="shared" si="3"/>
        <v>7</v>
      </c>
      <c r="Y62" s="40">
        <f t="shared" si="4"/>
        <v>7</v>
      </c>
      <c r="Z62" s="38">
        <f t="shared" si="0"/>
        <v>0</v>
      </c>
      <c r="AA62" s="41">
        <f t="shared" si="5"/>
        <v>0</v>
      </c>
      <c r="AB62" s="38"/>
      <c r="AC62" s="42">
        <f t="shared" si="6"/>
        <v>0</v>
      </c>
    </row>
    <row r="63" spans="1:29">
      <c r="A63" s="31">
        <v>50</v>
      </c>
      <c r="B63" s="58" t="s">
        <v>373</v>
      </c>
      <c r="C63" s="33" t="s">
        <v>374</v>
      </c>
      <c r="D63" s="33" t="s">
        <v>372</v>
      </c>
      <c r="E63" s="32" t="s">
        <v>45</v>
      </c>
      <c r="F63" s="53">
        <v>37873</v>
      </c>
      <c r="G63" s="34">
        <v>11</v>
      </c>
      <c r="H63" s="11" t="s">
        <v>58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2"/>
      <c r="T63" s="12"/>
      <c r="U63" s="12"/>
      <c r="V63" s="11">
        <f t="shared" si="1"/>
        <v>1</v>
      </c>
      <c r="W63" s="11">
        <f t="shared" si="2"/>
        <v>0</v>
      </c>
      <c r="X63" s="38">
        <f t="shared" si="3"/>
        <v>8</v>
      </c>
      <c r="Y63" s="40">
        <f t="shared" si="4"/>
        <v>8</v>
      </c>
      <c r="Z63" s="38">
        <f t="shared" si="0"/>
        <v>0</v>
      </c>
      <c r="AA63" s="41">
        <f t="shared" si="5"/>
        <v>0</v>
      </c>
      <c r="AB63" s="38"/>
      <c r="AC63" s="42">
        <f t="shared" si="6"/>
        <v>0</v>
      </c>
    </row>
    <row r="64" spans="1:29">
      <c r="A64" s="31">
        <v>51</v>
      </c>
      <c r="B64" s="58" t="s">
        <v>375</v>
      </c>
      <c r="C64" s="33" t="s">
        <v>376</v>
      </c>
      <c r="D64" s="33" t="s">
        <v>194</v>
      </c>
      <c r="E64" s="32" t="s">
        <v>45</v>
      </c>
      <c r="F64" s="53">
        <v>38733</v>
      </c>
      <c r="G64" s="34">
        <v>11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2"/>
      <c r="T64" s="12"/>
      <c r="U64" s="12"/>
      <c r="V64" s="11">
        <f t="shared" si="1"/>
        <v>0</v>
      </c>
      <c r="W64" s="11">
        <f t="shared" si="2"/>
        <v>0</v>
      </c>
      <c r="X64" s="38">
        <f t="shared" si="3"/>
        <v>7</v>
      </c>
      <c r="Y64" s="40">
        <f t="shared" si="4"/>
        <v>7</v>
      </c>
      <c r="Z64" s="38">
        <f t="shared" si="0"/>
        <v>0</v>
      </c>
      <c r="AA64" s="41">
        <f t="shared" si="5"/>
        <v>0</v>
      </c>
      <c r="AB64" s="38"/>
      <c r="AC64" s="42">
        <f t="shared" si="6"/>
        <v>0</v>
      </c>
    </row>
    <row r="65" spans="1:29">
      <c r="A65" s="31">
        <v>52</v>
      </c>
      <c r="B65" s="58" t="s">
        <v>377</v>
      </c>
      <c r="C65" s="33" t="s">
        <v>179</v>
      </c>
      <c r="D65" s="33" t="s">
        <v>194</v>
      </c>
      <c r="E65" s="32" t="s">
        <v>45</v>
      </c>
      <c r="F65" s="53">
        <v>38933</v>
      </c>
      <c r="G65" s="34">
        <v>11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2"/>
      <c r="T65" s="12"/>
      <c r="U65" s="12"/>
      <c r="V65" s="11">
        <f t="shared" si="1"/>
        <v>0</v>
      </c>
      <c r="W65" s="11">
        <f t="shared" si="2"/>
        <v>0</v>
      </c>
      <c r="X65" s="38">
        <f t="shared" si="3"/>
        <v>7</v>
      </c>
      <c r="Y65" s="40">
        <f t="shared" si="4"/>
        <v>7</v>
      </c>
      <c r="Z65" s="38">
        <f t="shared" si="0"/>
        <v>0</v>
      </c>
      <c r="AA65" s="41">
        <f t="shared" si="5"/>
        <v>0</v>
      </c>
      <c r="AB65" s="38"/>
      <c r="AC65" s="42">
        <f t="shared" si="6"/>
        <v>0</v>
      </c>
    </row>
    <row r="66" spans="1:29">
      <c r="A66" s="31">
        <v>53</v>
      </c>
      <c r="B66" s="58" t="s">
        <v>378</v>
      </c>
      <c r="C66" s="33" t="s">
        <v>379</v>
      </c>
      <c r="D66" s="33" t="s">
        <v>199</v>
      </c>
      <c r="E66" s="32" t="s">
        <v>45</v>
      </c>
      <c r="F66" s="53">
        <v>38886</v>
      </c>
      <c r="G66" s="34">
        <v>11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2"/>
      <c r="T66" s="12"/>
      <c r="U66" s="12"/>
      <c r="V66" s="11">
        <f t="shared" si="1"/>
        <v>0</v>
      </c>
      <c r="W66" s="11">
        <f t="shared" si="2"/>
        <v>0</v>
      </c>
      <c r="X66" s="38">
        <f t="shared" si="3"/>
        <v>7</v>
      </c>
      <c r="Y66" s="40">
        <f t="shared" si="4"/>
        <v>7</v>
      </c>
      <c r="Z66" s="38">
        <f t="shared" si="0"/>
        <v>0</v>
      </c>
      <c r="AA66" s="41">
        <f t="shared" si="5"/>
        <v>0</v>
      </c>
      <c r="AB66" s="38"/>
      <c r="AC66" s="42">
        <f t="shared" si="6"/>
        <v>0</v>
      </c>
    </row>
    <row r="67" spans="1:29">
      <c r="A67" s="31">
        <v>54</v>
      </c>
      <c r="B67" s="58" t="s">
        <v>380</v>
      </c>
      <c r="C67" s="33" t="s">
        <v>381</v>
      </c>
      <c r="D67" s="33" t="s">
        <v>382</v>
      </c>
      <c r="E67" s="32" t="s">
        <v>45</v>
      </c>
      <c r="F67" s="53">
        <v>38720</v>
      </c>
      <c r="G67" s="35">
        <v>12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2"/>
      <c r="T67" s="12"/>
      <c r="U67" s="12"/>
      <c r="V67" s="11">
        <f t="shared" si="1"/>
        <v>0</v>
      </c>
      <c r="W67" s="11">
        <f t="shared" si="2"/>
        <v>0</v>
      </c>
      <c r="X67" s="38">
        <f t="shared" si="3"/>
        <v>7</v>
      </c>
      <c r="Y67" s="40">
        <f t="shared" si="4"/>
        <v>7</v>
      </c>
      <c r="Z67" s="38">
        <f t="shared" si="0"/>
        <v>0</v>
      </c>
      <c r="AA67" s="41">
        <f t="shared" si="5"/>
        <v>0</v>
      </c>
      <c r="AB67" s="38"/>
      <c r="AC67" s="42">
        <f t="shared" si="6"/>
        <v>0</v>
      </c>
    </row>
    <row r="68" spans="1:29">
      <c r="A68" s="31">
        <v>55</v>
      </c>
      <c r="B68" s="58" t="s">
        <v>383</v>
      </c>
      <c r="C68" s="33" t="s">
        <v>103</v>
      </c>
      <c r="D68" s="33" t="s">
        <v>384</v>
      </c>
      <c r="E68" s="32" t="s">
        <v>45</v>
      </c>
      <c r="F68" s="53">
        <v>38769</v>
      </c>
      <c r="G68" s="35">
        <v>12</v>
      </c>
      <c r="H68" s="11" t="s">
        <v>58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2"/>
      <c r="T68" s="12"/>
      <c r="U68" s="12"/>
      <c r="V68" s="11">
        <f t="shared" si="1"/>
        <v>1</v>
      </c>
      <c r="W68" s="11">
        <f t="shared" si="2"/>
        <v>0</v>
      </c>
      <c r="X68" s="38">
        <f t="shared" si="3"/>
        <v>8</v>
      </c>
      <c r="Y68" s="40">
        <f t="shared" si="4"/>
        <v>8</v>
      </c>
      <c r="Z68" s="38">
        <f t="shared" si="0"/>
        <v>0</v>
      </c>
      <c r="AA68" s="41">
        <f t="shared" si="5"/>
        <v>0</v>
      </c>
      <c r="AB68" s="38"/>
      <c r="AC68" s="42">
        <f t="shared" si="6"/>
        <v>0</v>
      </c>
    </row>
    <row r="69" spans="1:29">
      <c r="A69" s="31">
        <v>56</v>
      </c>
      <c r="B69" s="58" t="s">
        <v>385</v>
      </c>
      <c r="C69" s="33" t="s">
        <v>386</v>
      </c>
      <c r="D69" s="33" t="s">
        <v>387</v>
      </c>
      <c r="E69" s="32" t="s">
        <v>67</v>
      </c>
      <c r="F69" s="53">
        <v>38478</v>
      </c>
      <c r="G69" s="35">
        <v>12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2"/>
      <c r="T69" s="12"/>
      <c r="U69" s="12"/>
      <c r="V69" s="11">
        <f t="shared" si="1"/>
        <v>0</v>
      </c>
      <c r="W69" s="11">
        <f t="shared" si="2"/>
        <v>0</v>
      </c>
      <c r="X69" s="38">
        <f t="shared" si="3"/>
        <v>7</v>
      </c>
      <c r="Y69" s="40">
        <f t="shared" si="4"/>
        <v>7</v>
      </c>
      <c r="Z69" s="38">
        <f t="shared" si="0"/>
        <v>0</v>
      </c>
      <c r="AA69" s="41">
        <f t="shared" si="5"/>
        <v>0</v>
      </c>
      <c r="AB69" s="38"/>
      <c r="AC69" s="42">
        <f t="shared" si="6"/>
        <v>0</v>
      </c>
    </row>
    <row r="70" spans="1:29">
      <c r="A70" s="31">
        <v>57</v>
      </c>
      <c r="B70" s="58" t="s">
        <v>388</v>
      </c>
      <c r="C70" s="33" t="s">
        <v>124</v>
      </c>
      <c r="D70" s="33" t="s">
        <v>389</v>
      </c>
      <c r="E70" s="32" t="s">
        <v>45</v>
      </c>
      <c r="F70" s="53">
        <v>37638</v>
      </c>
      <c r="G70" s="35">
        <v>12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2"/>
      <c r="T70" s="12"/>
      <c r="U70" s="12"/>
      <c r="V70" s="11">
        <f t="shared" si="1"/>
        <v>0</v>
      </c>
      <c r="W70" s="11">
        <f t="shared" si="2"/>
        <v>0</v>
      </c>
      <c r="X70" s="38">
        <f t="shared" si="3"/>
        <v>7</v>
      </c>
      <c r="Y70" s="40">
        <f t="shared" si="4"/>
        <v>7</v>
      </c>
      <c r="Z70" s="38">
        <f t="shared" si="0"/>
        <v>0</v>
      </c>
      <c r="AA70" s="41">
        <f t="shared" si="5"/>
        <v>0</v>
      </c>
      <c r="AB70" s="38"/>
      <c r="AC70" s="42">
        <f t="shared" si="6"/>
        <v>0</v>
      </c>
    </row>
    <row r="71" spans="1:29">
      <c r="A71" s="31">
        <v>58</v>
      </c>
      <c r="B71" s="58" t="s">
        <v>390</v>
      </c>
      <c r="C71" s="33" t="s">
        <v>391</v>
      </c>
      <c r="D71" s="33" t="s">
        <v>392</v>
      </c>
      <c r="E71" s="32" t="s">
        <v>45</v>
      </c>
      <c r="F71" s="53">
        <v>38823</v>
      </c>
      <c r="G71" s="35">
        <v>12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2"/>
      <c r="T71" s="12"/>
      <c r="U71" s="12"/>
      <c r="V71" s="11">
        <f t="shared" si="1"/>
        <v>0</v>
      </c>
      <c r="W71" s="11">
        <f t="shared" si="2"/>
        <v>0</v>
      </c>
      <c r="X71" s="38">
        <f t="shared" si="3"/>
        <v>7</v>
      </c>
      <c r="Y71" s="40">
        <f t="shared" si="4"/>
        <v>7</v>
      </c>
      <c r="Z71" s="38">
        <f t="shared" si="0"/>
        <v>0</v>
      </c>
      <c r="AA71" s="41">
        <f t="shared" si="5"/>
        <v>0</v>
      </c>
      <c r="AB71" s="38"/>
      <c r="AC71" s="42">
        <f t="shared" si="6"/>
        <v>0</v>
      </c>
    </row>
    <row r="72" spans="1:29">
      <c r="A72" s="31">
        <v>59</v>
      </c>
      <c r="B72" s="58" t="s">
        <v>393</v>
      </c>
      <c r="C72" s="33" t="s">
        <v>394</v>
      </c>
      <c r="D72" s="33" t="s">
        <v>392</v>
      </c>
      <c r="E72" s="32" t="s">
        <v>45</v>
      </c>
      <c r="F72" s="53">
        <v>38476</v>
      </c>
      <c r="G72" s="34">
        <v>13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2"/>
      <c r="T72" s="12"/>
      <c r="U72" s="12"/>
      <c r="V72" s="11">
        <f t="shared" si="1"/>
        <v>0</v>
      </c>
      <c r="W72" s="11">
        <f t="shared" si="2"/>
        <v>0</v>
      </c>
      <c r="X72" s="38">
        <f t="shared" si="3"/>
        <v>7</v>
      </c>
      <c r="Y72" s="40">
        <f t="shared" si="4"/>
        <v>7</v>
      </c>
      <c r="Z72" s="38">
        <f t="shared" si="0"/>
        <v>0</v>
      </c>
      <c r="AA72" s="41">
        <f t="shared" si="5"/>
        <v>0</v>
      </c>
      <c r="AB72" s="38"/>
      <c r="AC72" s="42">
        <f t="shared" si="6"/>
        <v>0</v>
      </c>
    </row>
    <row r="73" spans="1:29">
      <c r="A73" s="31">
        <v>60</v>
      </c>
      <c r="B73" s="58" t="s">
        <v>395</v>
      </c>
      <c r="C73" s="33" t="s">
        <v>396</v>
      </c>
      <c r="D73" s="33" t="s">
        <v>392</v>
      </c>
      <c r="E73" s="32" t="s">
        <v>45</v>
      </c>
      <c r="F73" s="53">
        <v>37945</v>
      </c>
      <c r="G73" s="34">
        <v>13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2"/>
      <c r="T73" s="12"/>
      <c r="U73" s="12"/>
      <c r="V73" s="11">
        <f t="shared" si="1"/>
        <v>0</v>
      </c>
      <c r="W73" s="11">
        <f t="shared" si="2"/>
        <v>0</v>
      </c>
      <c r="X73" s="38">
        <f t="shared" si="3"/>
        <v>7</v>
      </c>
      <c r="Y73" s="40">
        <f t="shared" si="4"/>
        <v>7</v>
      </c>
      <c r="Z73" s="38">
        <f t="shared" si="0"/>
        <v>0</v>
      </c>
      <c r="AA73" s="41">
        <f t="shared" si="5"/>
        <v>0</v>
      </c>
      <c r="AB73" s="38"/>
      <c r="AC73" s="42">
        <f t="shared" si="6"/>
        <v>0</v>
      </c>
    </row>
    <row r="74" spans="1:29">
      <c r="A74" s="31">
        <v>61</v>
      </c>
      <c r="B74" s="58" t="s">
        <v>397</v>
      </c>
      <c r="C74" s="33" t="s">
        <v>398</v>
      </c>
      <c r="D74" s="33" t="s">
        <v>213</v>
      </c>
      <c r="E74" s="32" t="s">
        <v>45</v>
      </c>
      <c r="F74" s="53">
        <v>38736</v>
      </c>
      <c r="G74" s="34">
        <v>13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2"/>
      <c r="T74" s="12"/>
      <c r="U74" s="12"/>
      <c r="V74" s="11">
        <f t="shared" si="1"/>
        <v>0</v>
      </c>
      <c r="W74" s="11">
        <f t="shared" si="2"/>
        <v>0</v>
      </c>
      <c r="X74" s="38">
        <f t="shared" si="3"/>
        <v>7</v>
      </c>
      <c r="Y74" s="40">
        <f t="shared" si="4"/>
        <v>7</v>
      </c>
      <c r="Z74" s="38">
        <f t="shared" si="0"/>
        <v>0</v>
      </c>
      <c r="AA74" s="41">
        <f t="shared" si="5"/>
        <v>0</v>
      </c>
      <c r="AB74" s="38"/>
      <c r="AC74" s="42">
        <f t="shared" si="6"/>
        <v>0</v>
      </c>
    </row>
    <row r="75" spans="1:29">
      <c r="A75" s="31">
        <v>62</v>
      </c>
      <c r="B75" s="58" t="s">
        <v>399</v>
      </c>
      <c r="C75" s="33" t="s">
        <v>215</v>
      </c>
      <c r="D75" s="33" t="s">
        <v>400</v>
      </c>
      <c r="E75" s="32" t="s">
        <v>45</v>
      </c>
      <c r="F75" s="53">
        <v>38851</v>
      </c>
      <c r="G75" s="34">
        <v>13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2"/>
      <c r="T75" s="12"/>
      <c r="U75" s="12"/>
      <c r="V75" s="11">
        <f t="shared" si="1"/>
        <v>0</v>
      </c>
      <c r="W75" s="11">
        <f t="shared" si="2"/>
        <v>0</v>
      </c>
      <c r="X75" s="38">
        <f t="shared" si="3"/>
        <v>7</v>
      </c>
      <c r="Y75" s="40">
        <f t="shared" si="4"/>
        <v>7</v>
      </c>
      <c r="Z75" s="38">
        <f t="shared" si="0"/>
        <v>0</v>
      </c>
      <c r="AA75" s="41">
        <f t="shared" si="5"/>
        <v>0</v>
      </c>
      <c r="AB75" s="38"/>
      <c r="AC75" s="42">
        <f t="shared" si="6"/>
        <v>0</v>
      </c>
    </row>
    <row r="76" spans="1:29">
      <c r="A76" s="31">
        <v>63</v>
      </c>
      <c r="B76" s="58" t="s">
        <v>401</v>
      </c>
      <c r="C76" s="33" t="s">
        <v>114</v>
      </c>
      <c r="D76" s="33" t="s">
        <v>238</v>
      </c>
      <c r="E76" s="32" t="s">
        <v>45</v>
      </c>
      <c r="F76" s="53">
        <v>39023</v>
      </c>
      <c r="G76" s="34">
        <v>13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2"/>
      <c r="T76" s="12"/>
      <c r="U76" s="12"/>
      <c r="V76" s="11">
        <f t="shared" si="1"/>
        <v>0</v>
      </c>
      <c r="W76" s="11">
        <f t="shared" si="2"/>
        <v>0</v>
      </c>
      <c r="X76" s="38">
        <f t="shared" si="3"/>
        <v>7</v>
      </c>
      <c r="Y76" s="40">
        <f t="shared" si="4"/>
        <v>7</v>
      </c>
      <c r="Z76" s="38">
        <f t="shared" si="0"/>
        <v>0</v>
      </c>
      <c r="AA76" s="41">
        <f t="shared" si="5"/>
        <v>0</v>
      </c>
      <c r="AB76" s="38"/>
      <c r="AC76" s="42">
        <f t="shared" si="6"/>
        <v>0</v>
      </c>
    </row>
    <row r="77" spans="1:29">
      <c r="A77" s="31">
        <v>64</v>
      </c>
      <c r="B77" s="58" t="s">
        <v>402</v>
      </c>
      <c r="C77" s="33" t="s">
        <v>403</v>
      </c>
      <c r="D77" s="33" t="s">
        <v>404</v>
      </c>
      <c r="E77" s="32" t="s">
        <v>45</v>
      </c>
      <c r="F77" s="53">
        <v>39068</v>
      </c>
      <c r="G77" s="35">
        <v>14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2"/>
      <c r="T77" s="12"/>
      <c r="U77" s="12"/>
      <c r="V77" s="11">
        <f t="shared" si="1"/>
        <v>0</v>
      </c>
      <c r="W77" s="11">
        <f t="shared" si="2"/>
        <v>0</v>
      </c>
      <c r="X77" s="38">
        <f t="shared" si="3"/>
        <v>7</v>
      </c>
      <c r="Y77" s="40">
        <f t="shared" si="4"/>
        <v>7</v>
      </c>
      <c r="Z77" s="38">
        <f t="shared" si="0"/>
        <v>0</v>
      </c>
      <c r="AA77" s="41">
        <f t="shared" si="5"/>
        <v>0</v>
      </c>
      <c r="AB77" s="38"/>
      <c r="AC77" s="42">
        <f t="shared" si="6"/>
        <v>0</v>
      </c>
    </row>
    <row r="78" spans="1:29">
      <c r="A78" s="31">
        <v>65</v>
      </c>
      <c r="B78" s="58" t="s">
        <v>405</v>
      </c>
      <c r="C78" s="33" t="s">
        <v>406</v>
      </c>
      <c r="D78" s="33" t="s">
        <v>407</v>
      </c>
      <c r="E78" s="32" t="s">
        <v>67</v>
      </c>
      <c r="F78" s="53">
        <v>39006</v>
      </c>
      <c r="G78" s="35">
        <v>14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2"/>
      <c r="T78" s="12"/>
      <c r="U78" s="12"/>
      <c r="V78" s="11">
        <f t="shared" si="1"/>
        <v>0</v>
      </c>
      <c r="W78" s="11">
        <f t="shared" si="2"/>
        <v>0</v>
      </c>
      <c r="X78" s="38">
        <f t="shared" si="3"/>
        <v>7</v>
      </c>
      <c r="Y78" s="40">
        <f t="shared" si="4"/>
        <v>7</v>
      </c>
      <c r="Z78" s="38">
        <f t="shared" ref="Z78:Z89" si="7">VLOOKUP(G78,BANG2,2,0)</f>
        <v>0</v>
      </c>
      <c r="AA78" s="41">
        <f t="shared" si="5"/>
        <v>0</v>
      </c>
      <c r="AB78" s="38"/>
      <c r="AC78" s="42">
        <f t="shared" si="6"/>
        <v>0</v>
      </c>
    </row>
    <row r="79" spans="1:29">
      <c r="A79" s="31">
        <v>66</v>
      </c>
      <c r="B79" s="58" t="s">
        <v>408</v>
      </c>
      <c r="C79" s="33" t="s">
        <v>103</v>
      </c>
      <c r="D79" s="33" t="s">
        <v>409</v>
      </c>
      <c r="E79" s="32" t="s">
        <v>45</v>
      </c>
      <c r="F79" s="53">
        <v>38767</v>
      </c>
      <c r="G79" s="35">
        <v>14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2"/>
      <c r="T79" s="12"/>
      <c r="U79" s="12"/>
      <c r="V79" s="11">
        <f t="shared" ref="V79:V89" si="8">COUNTIF(H79:U79,"+")</f>
        <v>0</v>
      </c>
      <c r="W79" s="11">
        <f t="shared" ref="W79:W89" si="9">COUNTIF(H79:U79,"-")</f>
        <v>0</v>
      </c>
      <c r="X79" s="38">
        <f t="shared" ref="X79:X89" si="10">7+V79-W79</f>
        <v>7</v>
      </c>
      <c r="Y79" s="40">
        <f t="shared" ref="Y79:Y89" si="11">IF(X79&gt;10,10,X79)</f>
        <v>7</v>
      </c>
      <c r="Z79" s="38">
        <f t="shared" si="7"/>
        <v>0</v>
      </c>
      <c r="AA79" s="41">
        <f t="shared" ref="AA79:AA89" si="12">IF(Z79&gt;10,10,Z79)</f>
        <v>0</v>
      </c>
      <c r="AB79" s="38"/>
      <c r="AC79" s="42">
        <f t="shared" ref="AC79:AC89" si="13">IF(AB79&gt;10,10,AB79)</f>
        <v>0</v>
      </c>
    </row>
    <row r="80" spans="1:29">
      <c r="A80" s="31">
        <v>67</v>
      </c>
      <c r="B80" s="58" t="s">
        <v>410</v>
      </c>
      <c r="C80" s="33" t="s">
        <v>411</v>
      </c>
      <c r="D80" s="33" t="s">
        <v>412</v>
      </c>
      <c r="E80" s="32" t="s">
        <v>45</v>
      </c>
      <c r="F80" s="53">
        <v>38118</v>
      </c>
      <c r="G80" s="35">
        <v>14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2"/>
      <c r="T80" s="12"/>
      <c r="U80" s="12"/>
      <c r="V80" s="11">
        <f t="shared" si="8"/>
        <v>0</v>
      </c>
      <c r="W80" s="11">
        <f t="shared" si="9"/>
        <v>0</v>
      </c>
      <c r="X80" s="38">
        <f t="shared" si="10"/>
        <v>7</v>
      </c>
      <c r="Y80" s="40">
        <f t="shared" si="11"/>
        <v>7</v>
      </c>
      <c r="Z80" s="38">
        <f t="shared" si="7"/>
        <v>0</v>
      </c>
      <c r="AA80" s="41">
        <f t="shared" si="12"/>
        <v>0</v>
      </c>
      <c r="AB80" s="38"/>
      <c r="AC80" s="42">
        <f t="shared" si="13"/>
        <v>0</v>
      </c>
    </row>
    <row r="81" spans="1:29">
      <c r="A81" s="31">
        <v>68</v>
      </c>
      <c r="B81" s="58" t="s">
        <v>413</v>
      </c>
      <c r="C81" s="33" t="s">
        <v>414</v>
      </c>
      <c r="D81" s="33" t="s">
        <v>251</v>
      </c>
      <c r="E81" s="32" t="s">
        <v>45</v>
      </c>
      <c r="F81" s="53">
        <v>38889</v>
      </c>
      <c r="G81" s="35">
        <v>14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2"/>
      <c r="T81" s="12"/>
      <c r="U81" s="12"/>
      <c r="V81" s="11">
        <f t="shared" si="8"/>
        <v>0</v>
      </c>
      <c r="W81" s="11">
        <f t="shared" si="9"/>
        <v>0</v>
      </c>
      <c r="X81" s="38">
        <f t="shared" si="10"/>
        <v>7</v>
      </c>
      <c r="Y81" s="40">
        <f t="shared" si="11"/>
        <v>7</v>
      </c>
      <c r="Z81" s="38">
        <f t="shared" si="7"/>
        <v>0</v>
      </c>
      <c r="AA81" s="41">
        <f t="shared" si="12"/>
        <v>0</v>
      </c>
      <c r="AB81" s="38"/>
      <c r="AC81" s="42">
        <f t="shared" si="13"/>
        <v>0</v>
      </c>
    </row>
    <row r="82" spans="1:29">
      <c r="A82" s="31">
        <v>69</v>
      </c>
      <c r="B82" s="58" t="s">
        <v>415</v>
      </c>
      <c r="C82" s="33" t="s">
        <v>416</v>
      </c>
      <c r="D82" s="33" t="s">
        <v>251</v>
      </c>
      <c r="E82" s="32" t="s">
        <v>45</v>
      </c>
      <c r="F82" s="53">
        <v>38870</v>
      </c>
      <c r="G82" s="34">
        <v>15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2"/>
      <c r="T82" s="12"/>
      <c r="U82" s="12"/>
      <c r="V82" s="11">
        <f t="shared" si="8"/>
        <v>0</v>
      </c>
      <c r="W82" s="11">
        <f t="shared" si="9"/>
        <v>0</v>
      </c>
      <c r="X82" s="38">
        <f t="shared" si="10"/>
        <v>7</v>
      </c>
      <c r="Y82" s="40">
        <f t="shared" si="11"/>
        <v>7</v>
      </c>
      <c r="Z82" s="38">
        <f t="shared" si="7"/>
        <v>0</v>
      </c>
      <c r="AA82" s="41">
        <f t="shared" si="12"/>
        <v>0</v>
      </c>
      <c r="AB82" s="38"/>
      <c r="AC82" s="42">
        <f t="shared" si="13"/>
        <v>0</v>
      </c>
    </row>
    <row r="83" spans="1:29">
      <c r="A83" s="31">
        <v>70</v>
      </c>
      <c r="B83" s="58" t="s">
        <v>417</v>
      </c>
      <c r="C83" s="33" t="s">
        <v>418</v>
      </c>
      <c r="D83" s="33" t="s">
        <v>251</v>
      </c>
      <c r="E83" s="32" t="s">
        <v>45</v>
      </c>
      <c r="F83" s="53">
        <v>39059</v>
      </c>
      <c r="G83" s="34">
        <v>15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2"/>
      <c r="T83" s="12"/>
      <c r="U83" s="12"/>
      <c r="V83" s="11">
        <f t="shared" si="8"/>
        <v>0</v>
      </c>
      <c r="W83" s="11">
        <f t="shared" si="9"/>
        <v>0</v>
      </c>
      <c r="X83" s="38">
        <f t="shared" si="10"/>
        <v>7</v>
      </c>
      <c r="Y83" s="40">
        <f t="shared" si="11"/>
        <v>7</v>
      </c>
      <c r="Z83" s="38">
        <f t="shared" si="7"/>
        <v>0</v>
      </c>
      <c r="AA83" s="41">
        <f t="shared" si="12"/>
        <v>0</v>
      </c>
      <c r="AB83" s="38"/>
      <c r="AC83" s="42">
        <f t="shared" si="13"/>
        <v>0</v>
      </c>
    </row>
    <row r="84" spans="1:29">
      <c r="A84" s="31">
        <v>71</v>
      </c>
      <c r="B84" s="58" t="s">
        <v>419</v>
      </c>
      <c r="C84" s="33" t="s">
        <v>420</v>
      </c>
      <c r="D84" s="33" t="s">
        <v>421</v>
      </c>
      <c r="E84" s="32" t="s">
        <v>45</v>
      </c>
      <c r="F84" s="53">
        <v>39014</v>
      </c>
      <c r="G84" s="34">
        <v>15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2"/>
      <c r="T84" s="12"/>
      <c r="U84" s="12"/>
      <c r="V84" s="11">
        <f t="shared" si="8"/>
        <v>0</v>
      </c>
      <c r="W84" s="11">
        <f t="shared" si="9"/>
        <v>0</v>
      </c>
      <c r="X84" s="38">
        <f t="shared" si="10"/>
        <v>7</v>
      </c>
      <c r="Y84" s="40">
        <f t="shared" si="11"/>
        <v>7</v>
      </c>
      <c r="Z84" s="38">
        <f t="shared" si="7"/>
        <v>0</v>
      </c>
      <c r="AA84" s="41">
        <f t="shared" si="12"/>
        <v>0</v>
      </c>
      <c r="AB84" s="38"/>
      <c r="AC84" s="42">
        <f t="shared" si="13"/>
        <v>0</v>
      </c>
    </row>
    <row r="85" spans="1:29">
      <c r="A85" s="31">
        <v>72</v>
      </c>
      <c r="B85" s="58" t="s">
        <v>422</v>
      </c>
      <c r="C85" s="33" t="s">
        <v>423</v>
      </c>
      <c r="D85" s="33" t="s">
        <v>424</v>
      </c>
      <c r="E85" s="32" t="s">
        <v>45</v>
      </c>
      <c r="F85" s="53">
        <v>37045</v>
      </c>
      <c r="G85" s="34">
        <v>15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2"/>
      <c r="T85" s="12"/>
      <c r="U85" s="12"/>
      <c r="V85" s="11">
        <f t="shared" si="8"/>
        <v>0</v>
      </c>
      <c r="W85" s="11">
        <f t="shared" si="9"/>
        <v>0</v>
      </c>
      <c r="X85" s="38">
        <f t="shared" si="10"/>
        <v>7</v>
      </c>
      <c r="Y85" s="40">
        <f t="shared" si="11"/>
        <v>7</v>
      </c>
      <c r="Z85" s="38">
        <f t="shared" si="7"/>
        <v>0</v>
      </c>
      <c r="AA85" s="41">
        <f t="shared" si="12"/>
        <v>0</v>
      </c>
      <c r="AB85" s="38"/>
      <c r="AC85" s="42">
        <f t="shared" si="13"/>
        <v>0</v>
      </c>
    </row>
    <row r="86" spans="1:29">
      <c r="A86" s="31">
        <v>73</v>
      </c>
      <c r="B86" s="58" t="s">
        <v>425</v>
      </c>
      <c r="C86" s="33" t="s">
        <v>306</v>
      </c>
      <c r="D86" s="33" t="s">
        <v>426</v>
      </c>
      <c r="E86" s="32" t="s">
        <v>45</v>
      </c>
      <c r="F86" s="53">
        <v>38801</v>
      </c>
      <c r="G86" s="34">
        <v>15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2"/>
      <c r="T86" s="12"/>
      <c r="U86" s="12"/>
      <c r="V86" s="11">
        <f t="shared" si="8"/>
        <v>0</v>
      </c>
      <c r="W86" s="11">
        <f t="shared" si="9"/>
        <v>0</v>
      </c>
      <c r="X86" s="38">
        <f t="shared" si="10"/>
        <v>7</v>
      </c>
      <c r="Y86" s="40">
        <f t="shared" si="11"/>
        <v>7</v>
      </c>
      <c r="Z86" s="38">
        <f t="shared" si="7"/>
        <v>0</v>
      </c>
      <c r="AA86" s="41">
        <f t="shared" si="12"/>
        <v>0</v>
      </c>
      <c r="AB86" s="38"/>
      <c r="AC86" s="42">
        <f t="shared" si="13"/>
        <v>0</v>
      </c>
    </row>
    <row r="87" spans="1:29">
      <c r="A87" s="31">
        <v>74</v>
      </c>
      <c r="B87" s="58" t="s">
        <v>427</v>
      </c>
      <c r="C87" s="33" t="s">
        <v>428</v>
      </c>
      <c r="D87" s="33" t="s">
        <v>429</v>
      </c>
      <c r="E87" s="32" t="s">
        <v>45</v>
      </c>
      <c r="F87" s="53">
        <v>37692</v>
      </c>
      <c r="G87" s="34">
        <v>15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2"/>
      <c r="T87" s="12"/>
      <c r="U87" s="12"/>
      <c r="V87" s="11">
        <f t="shared" si="8"/>
        <v>0</v>
      </c>
      <c r="W87" s="11">
        <f t="shared" si="9"/>
        <v>0</v>
      </c>
      <c r="X87" s="38">
        <f t="shared" si="10"/>
        <v>7</v>
      </c>
      <c r="Y87" s="40">
        <f t="shared" si="11"/>
        <v>7</v>
      </c>
      <c r="Z87" s="38">
        <f t="shared" si="7"/>
        <v>0</v>
      </c>
      <c r="AA87" s="41">
        <f t="shared" si="12"/>
        <v>0</v>
      </c>
      <c r="AB87" s="38"/>
      <c r="AC87" s="42">
        <f t="shared" si="13"/>
        <v>0</v>
      </c>
    </row>
    <row r="88" spans="1:29">
      <c r="A88" s="31">
        <v>75</v>
      </c>
      <c r="B88" s="58" t="s">
        <v>430</v>
      </c>
      <c r="C88" s="33" t="s">
        <v>431</v>
      </c>
      <c r="D88" s="33" t="s">
        <v>432</v>
      </c>
      <c r="E88" s="32" t="s">
        <v>45</v>
      </c>
      <c r="F88" s="53">
        <v>38831</v>
      </c>
      <c r="G88" s="35">
        <v>16</v>
      </c>
      <c r="H88" s="11" t="s">
        <v>58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2"/>
      <c r="T88" s="12"/>
      <c r="U88" s="12"/>
      <c r="V88" s="11">
        <f t="shared" si="8"/>
        <v>1</v>
      </c>
      <c r="W88" s="11">
        <f t="shared" si="9"/>
        <v>0</v>
      </c>
      <c r="X88" s="38">
        <f t="shared" si="10"/>
        <v>8</v>
      </c>
      <c r="Y88" s="40">
        <f t="shared" si="11"/>
        <v>8</v>
      </c>
      <c r="Z88" s="38" t="e">
        <f t="shared" si="7"/>
        <v>#N/A</v>
      </c>
      <c r="AA88" s="41" t="e">
        <f t="shared" si="12"/>
        <v>#N/A</v>
      </c>
      <c r="AB88" s="38"/>
      <c r="AC88" s="42">
        <f t="shared" si="13"/>
        <v>0</v>
      </c>
    </row>
    <row r="89" spans="1:29">
      <c r="A89" s="31">
        <v>76</v>
      </c>
      <c r="B89" s="58" t="s">
        <v>433</v>
      </c>
      <c r="C89" s="33" t="s">
        <v>434</v>
      </c>
      <c r="D89" s="33" t="s">
        <v>435</v>
      </c>
      <c r="E89" s="32" t="s">
        <v>45</v>
      </c>
      <c r="F89" s="53">
        <v>38912</v>
      </c>
      <c r="G89" s="35">
        <v>16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2"/>
      <c r="T89" s="12"/>
      <c r="U89" s="12"/>
      <c r="V89" s="11">
        <f t="shared" si="8"/>
        <v>0</v>
      </c>
      <c r="W89" s="11">
        <f t="shared" si="9"/>
        <v>0</v>
      </c>
      <c r="X89" s="38">
        <f t="shared" si="10"/>
        <v>7</v>
      </c>
      <c r="Y89" s="40">
        <f t="shared" si="11"/>
        <v>7</v>
      </c>
      <c r="Z89" s="38" t="e">
        <f t="shared" si="7"/>
        <v>#N/A</v>
      </c>
      <c r="AA89" s="41" t="e">
        <f t="shared" si="12"/>
        <v>#N/A</v>
      </c>
      <c r="AB89" s="38"/>
      <c r="AC89" s="42">
        <f t="shared" si="13"/>
        <v>0</v>
      </c>
    </row>
    <row r="90" spans="1:29">
      <c r="A90" s="31">
        <v>77</v>
      </c>
      <c r="B90" s="58" t="s">
        <v>436</v>
      </c>
      <c r="C90" s="33" t="s">
        <v>146</v>
      </c>
      <c r="D90" s="33" t="s">
        <v>435</v>
      </c>
      <c r="E90" s="32" t="s">
        <v>45</v>
      </c>
      <c r="F90" s="53">
        <v>38618</v>
      </c>
      <c r="G90" s="35">
        <v>16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45"/>
      <c r="AA90" s="11"/>
      <c r="AB90" s="45"/>
      <c r="AC90" s="11"/>
    </row>
    <row r="91" spans="1:29">
      <c r="A91" s="31">
        <v>78</v>
      </c>
      <c r="B91" s="58" t="s">
        <v>437</v>
      </c>
      <c r="C91" s="33" t="s">
        <v>43</v>
      </c>
      <c r="D91" s="33" t="s">
        <v>435</v>
      </c>
      <c r="E91" s="32" t="s">
        <v>45</v>
      </c>
      <c r="F91" s="53">
        <v>38950</v>
      </c>
      <c r="G91" s="35">
        <v>16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45"/>
      <c r="AA91" s="11"/>
      <c r="AB91" s="45"/>
      <c r="AC91" s="11"/>
    </row>
    <row r="92" spans="1:29">
      <c r="A92" s="31">
        <v>79</v>
      </c>
      <c r="B92" s="58" t="s">
        <v>438</v>
      </c>
      <c r="C92" s="33" t="s">
        <v>439</v>
      </c>
      <c r="D92" s="33" t="s">
        <v>440</v>
      </c>
      <c r="E92" s="32" t="s">
        <v>67</v>
      </c>
      <c r="F92" s="53">
        <v>39038</v>
      </c>
      <c r="G92" s="35">
        <v>16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45"/>
      <c r="AA92" s="11"/>
      <c r="AB92" s="45"/>
      <c r="AC92" s="11"/>
    </row>
    <row r="93" spans="1:29">
      <c r="A93" s="31">
        <v>80</v>
      </c>
      <c r="B93" s="58" t="s">
        <v>441</v>
      </c>
      <c r="C93" s="33" t="s">
        <v>442</v>
      </c>
      <c r="D93" s="33" t="s">
        <v>443</v>
      </c>
      <c r="E93" s="32" t="s">
        <v>45</v>
      </c>
      <c r="F93" s="53">
        <v>38891</v>
      </c>
      <c r="G93" s="35">
        <v>16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45"/>
      <c r="AA93" s="11"/>
      <c r="AB93" s="45"/>
      <c r="AC93" s="11"/>
    </row>
    <row r="94" spans="2:3">
      <c r="B94" s="14" t="s">
        <v>254</v>
      </c>
      <c r="C94" s="14"/>
    </row>
    <row r="95" spans="2:8">
      <c r="B95" s="14" t="s">
        <v>255</v>
      </c>
      <c r="C95" s="14"/>
      <c r="D95" s="14"/>
      <c r="E95" s="14"/>
      <c r="F95" s="14"/>
      <c r="G95" s="43"/>
      <c r="H95" s="14"/>
    </row>
    <row r="96" spans="2:8">
      <c r="B96" s="14" t="s">
        <v>256</v>
      </c>
      <c r="C96" s="14"/>
      <c r="D96" s="14"/>
      <c r="E96" s="14"/>
      <c r="F96" s="14"/>
      <c r="G96" s="43"/>
      <c r="H96" s="14"/>
    </row>
    <row r="97" spans="4:5">
      <c r="D97" s="44" t="s">
        <v>257</v>
      </c>
      <c r="E97" s="44"/>
    </row>
    <row r="99" spans="4:8">
      <c r="D99" s="34" t="s">
        <v>13</v>
      </c>
      <c r="E99" s="34" t="s">
        <v>38</v>
      </c>
      <c r="F99" s="23"/>
      <c r="G99" s="18"/>
      <c r="H99" s="23"/>
    </row>
    <row r="100" spans="4:8">
      <c r="D100" s="45">
        <v>1</v>
      </c>
      <c r="E100" s="11">
        <v>0</v>
      </c>
      <c r="F100" s="23"/>
      <c r="G100" s="46"/>
      <c r="H100" s="46"/>
    </row>
    <row r="101" spans="4:8">
      <c r="D101" s="45">
        <v>2</v>
      </c>
      <c r="E101" s="11">
        <v>0</v>
      </c>
      <c r="F101" s="23"/>
      <c r="G101" s="46"/>
      <c r="H101" s="46"/>
    </row>
    <row r="102" spans="4:8">
      <c r="D102" s="45">
        <v>3</v>
      </c>
      <c r="E102" s="11">
        <v>0</v>
      </c>
      <c r="F102" s="23"/>
      <c r="G102" s="46"/>
      <c r="H102" s="46"/>
    </row>
    <row r="103" spans="4:8">
      <c r="D103" s="45">
        <v>4</v>
      </c>
      <c r="E103" s="11">
        <v>0</v>
      </c>
      <c r="F103" s="23"/>
      <c r="G103" s="46"/>
      <c r="H103" s="46"/>
    </row>
    <row r="104" spans="4:8">
      <c r="D104" s="45">
        <v>5</v>
      </c>
      <c r="E104" s="11">
        <v>0</v>
      </c>
      <c r="F104" s="23"/>
      <c r="G104" s="46"/>
      <c r="H104" s="46"/>
    </row>
    <row r="105" spans="4:8">
      <c r="D105" s="45">
        <v>6</v>
      </c>
      <c r="E105" s="11">
        <v>0</v>
      </c>
      <c r="F105" s="23"/>
      <c r="G105" s="46"/>
      <c r="H105" s="46"/>
    </row>
    <row r="106" spans="4:8">
      <c r="D106" s="45">
        <v>7</v>
      </c>
      <c r="E106" s="11">
        <v>0</v>
      </c>
      <c r="F106" s="23"/>
      <c r="G106" s="46"/>
      <c r="H106" s="46"/>
    </row>
    <row r="107" spans="4:8">
      <c r="D107" s="45">
        <v>8</v>
      </c>
      <c r="E107" s="11">
        <v>0</v>
      </c>
      <c r="F107" s="23"/>
      <c r="G107" s="46"/>
      <c r="H107" s="46"/>
    </row>
    <row r="108" spans="4:8">
      <c r="D108" s="45">
        <v>9</v>
      </c>
      <c r="E108" s="11">
        <v>0</v>
      </c>
      <c r="F108" s="23"/>
      <c r="G108" s="46"/>
      <c r="H108" s="46"/>
    </row>
    <row r="109" spans="4:8">
      <c r="D109" s="45">
        <v>10</v>
      </c>
      <c r="E109" s="11">
        <v>0</v>
      </c>
      <c r="F109" s="23"/>
      <c r="G109" s="46"/>
      <c r="H109" s="46"/>
    </row>
    <row r="110" spans="4:5">
      <c r="D110" s="45">
        <v>11</v>
      </c>
      <c r="E110" s="11">
        <v>0</v>
      </c>
    </row>
    <row r="111" spans="4:5">
      <c r="D111" s="45">
        <v>12</v>
      </c>
      <c r="E111" s="11">
        <v>0</v>
      </c>
    </row>
    <row r="112" spans="4:5">
      <c r="D112" s="45">
        <v>13</v>
      </c>
      <c r="E112" s="11">
        <v>0</v>
      </c>
    </row>
    <row r="113" spans="4:5">
      <c r="D113" s="45">
        <v>14</v>
      </c>
      <c r="E113" s="11">
        <v>0</v>
      </c>
    </row>
    <row r="114" spans="4:5">
      <c r="D114" s="45">
        <v>15</v>
      </c>
      <c r="E114" s="11">
        <v>0</v>
      </c>
    </row>
  </sheetData>
  <mergeCells count="11">
    <mergeCell ref="D97:E97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</mergeCells>
  <conditionalFormatting sqref="C12">
    <cfRule type="cellIs" dxfId="0" priority="5" stopIfTrue="1" operator="equal">
      <formula>0</formula>
    </cfRule>
  </conditionalFormatting>
  <conditionalFormatting sqref="A14:F14">
    <cfRule type="cellIs" dxfId="0" priority="1" stopIfTrue="1" operator="equal">
      <formula>0</formula>
    </cfRule>
  </conditionalFormatting>
  <conditionalFormatting sqref="I11 C7:C11">
    <cfRule type="cellIs" dxfId="0" priority="2" stopIfTrue="1" operator="equal">
      <formula>0</formula>
    </cfRule>
  </conditionalFormatting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C114"/>
  <sheetViews>
    <sheetView workbookViewId="0">
      <selection activeCell="A1" sqref="$A1:$XFD1048576"/>
    </sheetView>
  </sheetViews>
  <sheetFormatPr defaultColWidth="9" defaultRowHeight="18.75"/>
  <cols>
    <col min="1" max="1" width="5.21904761904762" style="1" customWidth="1"/>
    <col min="2" max="2" width="18.1047619047619" style="1" customWidth="1"/>
    <col min="3" max="3" width="28.7809523809524" style="1" customWidth="1"/>
    <col min="4" max="4" width="11.6666666666667" style="1" customWidth="1"/>
    <col min="5" max="5" width="12.1047619047619" style="1" customWidth="1"/>
    <col min="6" max="6" width="16.552380952381" style="1" customWidth="1"/>
    <col min="7" max="7" width="7.1047619047619" style="27" customWidth="1"/>
    <col min="8" max="18" width="5.78095238095238" style="1" customWidth="1"/>
    <col min="19" max="21" width="6.78095238095238" style="1" customWidth="1"/>
    <col min="22" max="23" width="17.7809523809524" style="1" customWidth="1"/>
    <col min="24" max="25" width="9.78095238095238" style="1" customWidth="1"/>
    <col min="26" max="26" width="9.78095238095238" style="27" customWidth="1"/>
    <col min="27" max="27" width="9.78095238095238" style="1" customWidth="1"/>
    <col min="28" max="28" width="9.78095238095238" style="27" customWidth="1"/>
    <col min="29" max="29" width="10.6666666666667" style="1" customWidth="1"/>
    <col min="30" max="16384" width="8.88571428571429" style="1"/>
  </cols>
  <sheetData>
    <row r="6" ht="20.25" spans="4:24">
      <c r="D6" s="2" t="s">
        <v>0</v>
      </c>
      <c r="X6" s="16"/>
    </row>
    <row r="7" spans="3:24">
      <c r="C7" s="3" t="s">
        <v>1</v>
      </c>
      <c r="D7" s="4"/>
      <c r="E7" s="5"/>
      <c r="F7" s="6"/>
      <c r="G7" s="6"/>
      <c r="X7" s="16"/>
    </row>
    <row r="8" spans="3:24">
      <c r="C8" s="3" t="s">
        <v>3</v>
      </c>
      <c r="D8" s="4"/>
      <c r="E8" s="7"/>
      <c r="F8" s="6"/>
      <c r="G8" s="6"/>
      <c r="X8" s="16"/>
    </row>
    <row r="9" spans="3:24">
      <c r="C9" s="3" t="s">
        <v>5</v>
      </c>
      <c r="D9" s="4"/>
      <c r="E9" s="5"/>
      <c r="F9" s="8"/>
      <c r="G9" s="28"/>
      <c r="X9" s="16"/>
    </row>
    <row r="10" spans="3:24">
      <c r="C10" s="3" t="s">
        <v>9</v>
      </c>
      <c r="D10" s="4"/>
      <c r="E10" s="5"/>
      <c r="F10" s="6"/>
      <c r="G10" s="6"/>
      <c r="X10" s="16"/>
    </row>
    <row r="11" spans="3:24">
      <c r="C11" s="3" t="s">
        <v>444</v>
      </c>
      <c r="D11" s="4"/>
      <c r="E11" s="5"/>
      <c r="F11" s="5"/>
      <c r="G11" s="29"/>
      <c r="J11" s="9"/>
      <c r="X11" s="16"/>
    </row>
    <row r="12" spans="3:24">
      <c r="C12" s="3"/>
      <c r="E12" s="5"/>
      <c r="F12" s="5"/>
      <c r="G12" s="29"/>
      <c r="J12" s="9"/>
      <c r="X12" s="16"/>
    </row>
    <row r="13" spans="1:29">
      <c r="A13" s="10" t="s">
        <v>14</v>
      </c>
      <c r="B13" s="10" t="s">
        <v>15</v>
      </c>
      <c r="C13" s="10" t="s">
        <v>16</v>
      </c>
      <c r="D13" s="10" t="s">
        <v>17</v>
      </c>
      <c r="E13" s="30" t="s">
        <v>18</v>
      </c>
      <c r="F13" s="30" t="s">
        <v>19</v>
      </c>
      <c r="G13" s="30" t="s">
        <v>13</v>
      </c>
      <c r="H13" s="30" t="s">
        <v>20</v>
      </c>
      <c r="I13" s="30" t="s">
        <v>21</v>
      </c>
      <c r="J13" s="30" t="s">
        <v>22</v>
      </c>
      <c r="K13" s="30" t="s">
        <v>23</v>
      </c>
      <c r="L13" s="30" t="s">
        <v>24</v>
      </c>
      <c r="M13" s="30" t="s">
        <v>25</v>
      </c>
      <c r="N13" s="30" t="s">
        <v>26</v>
      </c>
      <c r="O13" s="30" t="s">
        <v>27</v>
      </c>
      <c r="P13" s="30" t="s">
        <v>28</v>
      </c>
      <c r="Q13" s="30" t="s">
        <v>29</v>
      </c>
      <c r="R13" s="30" t="s">
        <v>30</v>
      </c>
      <c r="S13" s="30" t="s">
        <v>31</v>
      </c>
      <c r="T13" s="30" t="s">
        <v>32</v>
      </c>
      <c r="U13" s="30" t="s">
        <v>33</v>
      </c>
      <c r="V13" s="30" t="s">
        <v>34</v>
      </c>
      <c r="W13" s="30" t="s">
        <v>35</v>
      </c>
      <c r="X13" s="37" t="s">
        <v>36</v>
      </c>
      <c r="Y13" s="39" t="s">
        <v>37</v>
      </c>
      <c r="Z13" s="30" t="s">
        <v>38</v>
      </c>
      <c r="AA13" s="39" t="s">
        <v>39</v>
      </c>
      <c r="AB13" s="30" t="s">
        <v>40</v>
      </c>
      <c r="AC13" s="39" t="s">
        <v>41</v>
      </c>
    </row>
    <row r="14" spans="1:29">
      <c r="A14" s="31">
        <v>1</v>
      </c>
      <c r="B14" s="32"/>
      <c r="C14" s="33"/>
      <c r="D14" s="33"/>
      <c r="E14" s="32"/>
      <c r="F14" s="32"/>
      <c r="G14" s="34"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/>
      <c r="T14" s="12"/>
      <c r="U14" s="12"/>
      <c r="V14" s="11">
        <f>COUNTIF(H14:U14,"+")</f>
        <v>0</v>
      </c>
      <c r="W14" s="11">
        <f>COUNTIF(H14:U14,"-")</f>
        <v>0</v>
      </c>
      <c r="X14" s="38">
        <f>7+V14-W14</f>
        <v>7</v>
      </c>
      <c r="Y14" s="40">
        <f>IF(X14&gt;10,10,X14)</f>
        <v>7</v>
      </c>
      <c r="Z14" s="38">
        <f t="shared" ref="Z14:Z45" si="0">VLOOKUP(G14,BANG2,2,0)</f>
        <v>0</v>
      </c>
      <c r="AA14" s="41">
        <f>IF(Z14&gt;10,10,Z14)</f>
        <v>0</v>
      </c>
      <c r="AB14" s="38"/>
      <c r="AC14" s="42">
        <f>IF(AB14&gt;10,10,AB14)</f>
        <v>0</v>
      </c>
    </row>
    <row r="15" spans="1:29">
      <c r="A15" s="31">
        <v>2</v>
      </c>
      <c r="B15" s="32"/>
      <c r="C15" s="33"/>
      <c r="D15" s="33"/>
      <c r="E15" s="32"/>
      <c r="F15" s="32"/>
      <c r="G15" s="34">
        <v>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/>
      <c r="T15" s="12"/>
      <c r="U15" s="12"/>
      <c r="V15" s="11">
        <f t="shared" ref="V15:V78" si="1">COUNTIF(H15:U15,"+")</f>
        <v>0</v>
      </c>
      <c r="W15" s="11">
        <f t="shared" ref="W15:W51" si="2">COUNTIF(H15:U15,"-")</f>
        <v>0</v>
      </c>
      <c r="X15" s="38">
        <f t="shared" ref="X15:X51" si="3">7+V15-W15</f>
        <v>7</v>
      </c>
      <c r="Y15" s="40">
        <f t="shared" ref="Y15:Y51" si="4">IF(X15&gt;10,10,X15)</f>
        <v>7</v>
      </c>
      <c r="Z15" s="38">
        <f t="shared" si="0"/>
        <v>0</v>
      </c>
      <c r="AA15" s="41">
        <f t="shared" ref="AA15:AA51" si="5">IF(Z15&gt;10,10,Z15)</f>
        <v>0</v>
      </c>
      <c r="AB15" s="38"/>
      <c r="AC15" s="42">
        <f t="shared" ref="AC15:AC51" si="6">IF(AB15&gt;10,10,AB15)</f>
        <v>0</v>
      </c>
    </row>
    <row r="16" spans="1:29">
      <c r="A16" s="31">
        <v>3</v>
      </c>
      <c r="B16" s="32"/>
      <c r="C16" s="33"/>
      <c r="D16" s="33"/>
      <c r="E16" s="32"/>
      <c r="F16" s="32"/>
      <c r="G16" s="34">
        <v>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/>
      <c r="T16" s="12"/>
      <c r="U16" s="12"/>
      <c r="V16" s="11">
        <f t="shared" si="1"/>
        <v>0</v>
      </c>
      <c r="W16" s="11">
        <f t="shared" si="2"/>
        <v>0</v>
      </c>
      <c r="X16" s="38">
        <f t="shared" si="3"/>
        <v>7</v>
      </c>
      <c r="Y16" s="40">
        <f t="shared" si="4"/>
        <v>7</v>
      </c>
      <c r="Z16" s="38">
        <f t="shared" si="0"/>
        <v>0</v>
      </c>
      <c r="AA16" s="41">
        <f t="shared" si="5"/>
        <v>0</v>
      </c>
      <c r="AB16" s="38"/>
      <c r="AC16" s="42">
        <f t="shared" si="6"/>
        <v>0</v>
      </c>
    </row>
    <row r="17" spans="1:29">
      <c r="A17" s="31">
        <v>4</v>
      </c>
      <c r="B17" s="32"/>
      <c r="C17" s="33"/>
      <c r="D17" s="33"/>
      <c r="E17" s="32"/>
      <c r="F17" s="32"/>
      <c r="G17" s="34">
        <v>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1">
        <f t="shared" si="1"/>
        <v>0</v>
      </c>
      <c r="W17" s="11">
        <f t="shared" si="2"/>
        <v>0</v>
      </c>
      <c r="X17" s="38">
        <f t="shared" si="3"/>
        <v>7</v>
      </c>
      <c r="Y17" s="40">
        <f t="shared" si="4"/>
        <v>7</v>
      </c>
      <c r="Z17" s="38">
        <f t="shared" si="0"/>
        <v>0</v>
      </c>
      <c r="AA17" s="41">
        <f t="shared" si="5"/>
        <v>0</v>
      </c>
      <c r="AB17" s="38"/>
      <c r="AC17" s="42">
        <f t="shared" si="6"/>
        <v>0</v>
      </c>
    </row>
    <row r="18" spans="1:29">
      <c r="A18" s="31">
        <v>5</v>
      </c>
      <c r="B18" s="32"/>
      <c r="C18" s="33"/>
      <c r="D18" s="33"/>
      <c r="E18" s="32"/>
      <c r="F18" s="32"/>
      <c r="G18" s="34">
        <v>1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2"/>
      <c r="T18" s="12"/>
      <c r="U18" s="12"/>
      <c r="V18" s="11">
        <f t="shared" si="1"/>
        <v>0</v>
      </c>
      <c r="W18" s="11">
        <f t="shared" si="2"/>
        <v>0</v>
      </c>
      <c r="X18" s="38">
        <f t="shared" si="3"/>
        <v>7</v>
      </c>
      <c r="Y18" s="40">
        <f t="shared" si="4"/>
        <v>7</v>
      </c>
      <c r="Z18" s="38">
        <f t="shared" si="0"/>
        <v>0</v>
      </c>
      <c r="AA18" s="41">
        <f t="shared" si="5"/>
        <v>0</v>
      </c>
      <c r="AB18" s="38"/>
      <c r="AC18" s="42">
        <f t="shared" si="6"/>
        <v>0</v>
      </c>
    </row>
    <row r="19" spans="1:29">
      <c r="A19" s="31">
        <v>6</v>
      </c>
      <c r="B19" s="32"/>
      <c r="C19" s="33"/>
      <c r="D19" s="33"/>
      <c r="E19" s="32"/>
      <c r="F19" s="32"/>
      <c r="G19" s="35">
        <v>2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2"/>
      <c r="T19" s="12"/>
      <c r="U19" s="12"/>
      <c r="V19" s="11">
        <f t="shared" si="1"/>
        <v>0</v>
      </c>
      <c r="W19" s="11">
        <f t="shared" si="2"/>
        <v>0</v>
      </c>
      <c r="X19" s="38">
        <f t="shared" si="3"/>
        <v>7</v>
      </c>
      <c r="Y19" s="40">
        <f t="shared" si="4"/>
        <v>7</v>
      </c>
      <c r="Z19" s="38">
        <f t="shared" si="0"/>
        <v>0</v>
      </c>
      <c r="AA19" s="41">
        <f t="shared" si="5"/>
        <v>0</v>
      </c>
      <c r="AB19" s="38"/>
      <c r="AC19" s="42">
        <f t="shared" si="6"/>
        <v>0</v>
      </c>
    </row>
    <row r="20" spans="1:29">
      <c r="A20" s="31">
        <v>7</v>
      </c>
      <c r="B20" s="32"/>
      <c r="C20" s="33"/>
      <c r="D20" s="33"/>
      <c r="E20" s="32"/>
      <c r="F20" s="32"/>
      <c r="G20" s="35">
        <v>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  <c r="T20" s="12"/>
      <c r="U20" s="12"/>
      <c r="V20" s="11">
        <f t="shared" si="1"/>
        <v>0</v>
      </c>
      <c r="W20" s="11">
        <f t="shared" si="2"/>
        <v>0</v>
      </c>
      <c r="X20" s="38">
        <f t="shared" si="3"/>
        <v>7</v>
      </c>
      <c r="Y20" s="40">
        <f t="shared" si="4"/>
        <v>7</v>
      </c>
      <c r="Z20" s="38">
        <f t="shared" si="0"/>
        <v>0</v>
      </c>
      <c r="AA20" s="41">
        <f t="shared" si="5"/>
        <v>0</v>
      </c>
      <c r="AB20" s="38"/>
      <c r="AC20" s="42">
        <f t="shared" si="6"/>
        <v>0</v>
      </c>
    </row>
    <row r="21" spans="1:29">
      <c r="A21" s="31">
        <v>8</v>
      </c>
      <c r="B21" s="32"/>
      <c r="C21" s="33"/>
      <c r="D21" s="33"/>
      <c r="E21" s="32"/>
      <c r="F21" s="32"/>
      <c r="G21" s="35">
        <v>2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2"/>
      <c r="T21" s="12"/>
      <c r="U21" s="12"/>
      <c r="V21" s="11">
        <f t="shared" si="1"/>
        <v>0</v>
      </c>
      <c r="W21" s="11">
        <f t="shared" si="2"/>
        <v>0</v>
      </c>
      <c r="X21" s="38">
        <f t="shared" si="3"/>
        <v>7</v>
      </c>
      <c r="Y21" s="40">
        <f t="shared" si="4"/>
        <v>7</v>
      </c>
      <c r="Z21" s="38">
        <f t="shared" si="0"/>
        <v>0</v>
      </c>
      <c r="AA21" s="41">
        <f t="shared" si="5"/>
        <v>0</v>
      </c>
      <c r="AB21" s="38"/>
      <c r="AC21" s="42">
        <f t="shared" si="6"/>
        <v>0</v>
      </c>
    </row>
    <row r="22" spans="1:29">
      <c r="A22" s="31">
        <v>9</v>
      </c>
      <c r="B22" s="32"/>
      <c r="C22" s="33"/>
      <c r="D22" s="33"/>
      <c r="E22" s="32"/>
      <c r="F22" s="32"/>
      <c r="G22" s="35">
        <v>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  <c r="T22" s="12"/>
      <c r="U22" s="12"/>
      <c r="V22" s="11">
        <f t="shared" si="1"/>
        <v>0</v>
      </c>
      <c r="W22" s="11">
        <f t="shared" si="2"/>
        <v>0</v>
      </c>
      <c r="X22" s="38">
        <f t="shared" si="3"/>
        <v>7</v>
      </c>
      <c r="Y22" s="40">
        <f t="shared" si="4"/>
        <v>7</v>
      </c>
      <c r="Z22" s="38">
        <f t="shared" si="0"/>
        <v>0</v>
      </c>
      <c r="AA22" s="41">
        <f t="shared" si="5"/>
        <v>0</v>
      </c>
      <c r="AB22" s="38"/>
      <c r="AC22" s="42">
        <f t="shared" si="6"/>
        <v>0</v>
      </c>
    </row>
    <row r="23" spans="1:29">
      <c r="A23" s="31">
        <v>10</v>
      </c>
      <c r="B23" s="32"/>
      <c r="C23" s="33"/>
      <c r="D23" s="33"/>
      <c r="E23" s="32"/>
      <c r="F23" s="32"/>
      <c r="G23" s="35">
        <v>2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  <c r="T23" s="12"/>
      <c r="U23" s="12"/>
      <c r="V23" s="11">
        <f t="shared" si="1"/>
        <v>0</v>
      </c>
      <c r="W23" s="11">
        <f t="shared" si="2"/>
        <v>0</v>
      </c>
      <c r="X23" s="38">
        <f t="shared" si="3"/>
        <v>7</v>
      </c>
      <c r="Y23" s="40">
        <f t="shared" si="4"/>
        <v>7</v>
      </c>
      <c r="Z23" s="38">
        <f t="shared" si="0"/>
        <v>0</v>
      </c>
      <c r="AA23" s="41">
        <f t="shared" si="5"/>
        <v>0</v>
      </c>
      <c r="AB23" s="38"/>
      <c r="AC23" s="42">
        <f t="shared" si="6"/>
        <v>0</v>
      </c>
    </row>
    <row r="24" spans="1:29">
      <c r="A24" s="31">
        <v>11</v>
      </c>
      <c r="B24" s="32"/>
      <c r="C24" s="33"/>
      <c r="D24" s="33"/>
      <c r="E24" s="32"/>
      <c r="F24" s="32"/>
      <c r="G24" s="34">
        <v>3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2"/>
      <c r="T24" s="12"/>
      <c r="U24" s="12"/>
      <c r="V24" s="11">
        <f t="shared" si="1"/>
        <v>0</v>
      </c>
      <c r="W24" s="11">
        <f t="shared" si="2"/>
        <v>0</v>
      </c>
      <c r="X24" s="38">
        <f t="shared" si="3"/>
        <v>7</v>
      </c>
      <c r="Y24" s="40">
        <f t="shared" si="4"/>
        <v>7</v>
      </c>
      <c r="Z24" s="38">
        <f t="shared" si="0"/>
        <v>0</v>
      </c>
      <c r="AA24" s="41">
        <f t="shared" si="5"/>
        <v>0</v>
      </c>
      <c r="AB24" s="38"/>
      <c r="AC24" s="42">
        <f t="shared" si="6"/>
        <v>0</v>
      </c>
    </row>
    <row r="25" spans="1:29">
      <c r="A25" s="31">
        <v>12</v>
      </c>
      <c r="B25" s="32"/>
      <c r="C25" s="33"/>
      <c r="D25" s="33"/>
      <c r="E25" s="32"/>
      <c r="F25" s="32"/>
      <c r="G25" s="34">
        <v>3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/>
      <c r="T25" s="12"/>
      <c r="U25" s="12"/>
      <c r="V25" s="11">
        <f t="shared" si="1"/>
        <v>0</v>
      </c>
      <c r="W25" s="11">
        <f t="shared" si="2"/>
        <v>0</v>
      </c>
      <c r="X25" s="38">
        <f t="shared" si="3"/>
        <v>7</v>
      </c>
      <c r="Y25" s="40">
        <f t="shared" si="4"/>
        <v>7</v>
      </c>
      <c r="Z25" s="38">
        <f t="shared" si="0"/>
        <v>0</v>
      </c>
      <c r="AA25" s="41">
        <f t="shared" si="5"/>
        <v>0</v>
      </c>
      <c r="AB25" s="38"/>
      <c r="AC25" s="42">
        <f t="shared" si="6"/>
        <v>0</v>
      </c>
    </row>
    <row r="26" spans="1:29">
      <c r="A26" s="31">
        <v>13</v>
      </c>
      <c r="B26" s="32"/>
      <c r="C26" s="33"/>
      <c r="D26" s="33"/>
      <c r="E26" s="32"/>
      <c r="F26" s="32"/>
      <c r="G26" s="34">
        <v>3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  <c r="U26" s="12"/>
      <c r="V26" s="11">
        <f t="shared" si="1"/>
        <v>0</v>
      </c>
      <c r="W26" s="11">
        <f t="shared" si="2"/>
        <v>0</v>
      </c>
      <c r="X26" s="38">
        <f t="shared" si="3"/>
        <v>7</v>
      </c>
      <c r="Y26" s="40">
        <f t="shared" si="4"/>
        <v>7</v>
      </c>
      <c r="Z26" s="38">
        <f t="shared" si="0"/>
        <v>0</v>
      </c>
      <c r="AA26" s="41">
        <f t="shared" si="5"/>
        <v>0</v>
      </c>
      <c r="AB26" s="38"/>
      <c r="AC26" s="42">
        <f t="shared" si="6"/>
        <v>0</v>
      </c>
    </row>
    <row r="27" spans="1:29">
      <c r="A27" s="31">
        <v>14</v>
      </c>
      <c r="B27" s="32"/>
      <c r="C27" s="33"/>
      <c r="D27" s="33"/>
      <c r="E27" s="32"/>
      <c r="F27" s="32"/>
      <c r="G27" s="34">
        <v>3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2"/>
      <c r="U27" s="12"/>
      <c r="V27" s="11">
        <f t="shared" si="1"/>
        <v>0</v>
      </c>
      <c r="W27" s="11">
        <f t="shared" si="2"/>
        <v>0</v>
      </c>
      <c r="X27" s="38">
        <f t="shared" si="3"/>
        <v>7</v>
      </c>
      <c r="Y27" s="40">
        <f t="shared" si="4"/>
        <v>7</v>
      </c>
      <c r="Z27" s="38">
        <f t="shared" si="0"/>
        <v>0</v>
      </c>
      <c r="AA27" s="41">
        <f t="shared" si="5"/>
        <v>0</v>
      </c>
      <c r="AB27" s="38"/>
      <c r="AC27" s="42">
        <f t="shared" si="6"/>
        <v>0</v>
      </c>
    </row>
    <row r="28" spans="1:29">
      <c r="A28" s="31">
        <v>15</v>
      </c>
      <c r="B28" s="32"/>
      <c r="C28" s="33"/>
      <c r="D28" s="33"/>
      <c r="E28" s="32"/>
      <c r="F28" s="32"/>
      <c r="G28" s="34">
        <v>3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2"/>
      <c r="U28" s="12"/>
      <c r="V28" s="11">
        <f t="shared" si="1"/>
        <v>0</v>
      </c>
      <c r="W28" s="11">
        <f t="shared" si="2"/>
        <v>0</v>
      </c>
      <c r="X28" s="38">
        <f t="shared" si="3"/>
        <v>7</v>
      </c>
      <c r="Y28" s="40">
        <f t="shared" si="4"/>
        <v>7</v>
      </c>
      <c r="Z28" s="38">
        <f t="shared" si="0"/>
        <v>0</v>
      </c>
      <c r="AA28" s="41">
        <f t="shared" si="5"/>
        <v>0</v>
      </c>
      <c r="AB28" s="38"/>
      <c r="AC28" s="42">
        <f t="shared" si="6"/>
        <v>0</v>
      </c>
    </row>
    <row r="29" spans="1:29">
      <c r="A29" s="31">
        <v>16</v>
      </c>
      <c r="B29" s="32"/>
      <c r="C29" s="33"/>
      <c r="D29" s="33"/>
      <c r="E29" s="32"/>
      <c r="F29" s="32"/>
      <c r="G29" s="35">
        <v>4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2"/>
      <c r="U29" s="12"/>
      <c r="V29" s="11">
        <f t="shared" si="1"/>
        <v>0</v>
      </c>
      <c r="W29" s="11">
        <f t="shared" si="2"/>
        <v>0</v>
      </c>
      <c r="X29" s="38">
        <f t="shared" si="3"/>
        <v>7</v>
      </c>
      <c r="Y29" s="40">
        <f t="shared" si="4"/>
        <v>7</v>
      </c>
      <c r="Z29" s="38">
        <f t="shared" si="0"/>
        <v>0</v>
      </c>
      <c r="AA29" s="41">
        <f t="shared" si="5"/>
        <v>0</v>
      </c>
      <c r="AB29" s="38"/>
      <c r="AC29" s="42">
        <f t="shared" si="6"/>
        <v>0</v>
      </c>
    </row>
    <row r="30" spans="1:29">
      <c r="A30" s="31">
        <v>17</v>
      </c>
      <c r="B30" s="32"/>
      <c r="C30" s="33"/>
      <c r="D30" s="33"/>
      <c r="E30" s="32"/>
      <c r="F30" s="32"/>
      <c r="G30" s="35">
        <v>4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12"/>
      <c r="U30" s="12"/>
      <c r="V30" s="11">
        <f t="shared" si="1"/>
        <v>0</v>
      </c>
      <c r="W30" s="11">
        <f t="shared" si="2"/>
        <v>0</v>
      </c>
      <c r="X30" s="38">
        <f t="shared" si="3"/>
        <v>7</v>
      </c>
      <c r="Y30" s="40">
        <f t="shared" si="4"/>
        <v>7</v>
      </c>
      <c r="Z30" s="38">
        <f t="shared" si="0"/>
        <v>0</v>
      </c>
      <c r="AA30" s="41">
        <f t="shared" si="5"/>
        <v>0</v>
      </c>
      <c r="AB30" s="38"/>
      <c r="AC30" s="42">
        <f t="shared" si="6"/>
        <v>0</v>
      </c>
    </row>
    <row r="31" spans="1:29">
      <c r="A31" s="31">
        <v>18</v>
      </c>
      <c r="B31" s="32"/>
      <c r="C31" s="33"/>
      <c r="D31" s="33"/>
      <c r="E31" s="32"/>
      <c r="F31" s="32"/>
      <c r="G31" s="35">
        <v>4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12"/>
      <c r="U31" s="12"/>
      <c r="V31" s="11">
        <f t="shared" si="1"/>
        <v>0</v>
      </c>
      <c r="W31" s="11">
        <f t="shared" si="2"/>
        <v>0</v>
      </c>
      <c r="X31" s="38">
        <f t="shared" si="3"/>
        <v>7</v>
      </c>
      <c r="Y31" s="40">
        <f t="shared" si="4"/>
        <v>7</v>
      </c>
      <c r="Z31" s="38">
        <f t="shared" si="0"/>
        <v>0</v>
      </c>
      <c r="AA31" s="41">
        <f t="shared" si="5"/>
        <v>0</v>
      </c>
      <c r="AB31" s="38"/>
      <c r="AC31" s="42">
        <f t="shared" si="6"/>
        <v>0</v>
      </c>
    </row>
    <row r="32" spans="1:29">
      <c r="A32" s="31">
        <v>19</v>
      </c>
      <c r="B32" s="32"/>
      <c r="C32" s="33"/>
      <c r="D32" s="33"/>
      <c r="E32" s="32"/>
      <c r="F32" s="32"/>
      <c r="G32" s="35">
        <v>4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/>
      <c r="T32" s="12"/>
      <c r="U32" s="12"/>
      <c r="V32" s="11">
        <f t="shared" si="1"/>
        <v>0</v>
      </c>
      <c r="W32" s="11">
        <f t="shared" si="2"/>
        <v>0</v>
      </c>
      <c r="X32" s="38">
        <f t="shared" si="3"/>
        <v>7</v>
      </c>
      <c r="Y32" s="40">
        <f t="shared" si="4"/>
        <v>7</v>
      </c>
      <c r="Z32" s="38">
        <f t="shared" si="0"/>
        <v>0</v>
      </c>
      <c r="AA32" s="41">
        <f t="shared" si="5"/>
        <v>0</v>
      </c>
      <c r="AB32" s="38"/>
      <c r="AC32" s="42">
        <f t="shared" si="6"/>
        <v>0</v>
      </c>
    </row>
    <row r="33" spans="1:29">
      <c r="A33" s="31">
        <v>20</v>
      </c>
      <c r="B33" s="32"/>
      <c r="C33" s="33"/>
      <c r="D33" s="33"/>
      <c r="E33" s="32"/>
      <c r="F33" s="32"/>
      <c r="G33" s="35">
        <v>4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12"/>
      <c r="U33" s="12"/>
      <c r="V33" s="11">
        <f t="shared" si="1"/>
        <v>0</v>
      </c>
      <c r="W33" s="11">
        <f t="shared" si="2"/>
        <v>0</v>
      </c>
      <c r="X33" s="38">
        <f t="shared" si="3"/>
        <v>7</v>
      </c>
      <c r="Y33" s="40">
        <f t="shared" si="4"/>
        <v>7</v>
      </c>
      <c r="Z33" s="38">
        <f t="shared" si="0"/>
        <v>0</v>
      </c>
      <c r="AA33" s="41">
        <f t="shared" si="5"/>
        <v>0</v>
      </c>
      <c r="AB33" s="38"/>
      <c r="AC33" s="42">
        <f t="shared" si="6"/>
        <v>0</v>
      </c>
    </row>
    <row r="34" spans="1:29">
      <c r="A34" s="31">
        <v>21</v>
      </c>
      <c r="B34" s="32"/>
      <c r="C34" s="33"/>
      <c r="D34" s="33"/>
      <c r="E34" s="32"/>
      <c r="F34" s="32"/>
      <c r="G34" s="34">
        <v>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/>
      <c r="T34" s="12"/>
      <c r="U34" s="12"/>
      <c r="V34" s="11">
        <f t="shared" si="1"/>
        <v>0</v>
      </c>
      <c r="W34" s="11">
        <f t="shared" si="2"/>
        <v>0</v>
      </c>
      <c r="X34" s="38">
        <f t="shared" si="3"/>
        <v>7</v>
      </c>
      <c r="Y34" s="40">
        <f t="shared" si="4"/>
        <v>7</v>
      </c>
      <c r="Z34" s="38">
        <f t="shared" si="0"/>
        <v>0</v>
      </c>
      <c r="AA34" s="41">
        <f t="shared" si="5"/>
        <v>0</v>
      </c>
      <c r="AB34" s="38"/>
      <c r="AC34" s="42">
        <f t="shared" si="6"/>
        <v>0</v>
      </c>
    </row>
    <row r="35" spans="1:29">
      <c r="A35" s="31">
        <v>22</v>
      </c>
      <c r="B35" s="32"/>
      <c r="C35" s="33"/>
      <c r="D35" s="33"/>
      <c r="E35" s="32"/>
      <c r="F35" s="32"/>
      <c r="G35" s="34">
        <v>5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12"/>
      <c r="U35" s="12"/>
      <c r="V35" s="11">
        <f t="shared" si="1"/>
        <v>0</v>
      </c>
      <c r="W35" s="11">
        <f t="shared" si="2"/>
        <v>0</v>
      </c>
      <c r="X35" s="38">
        <f t="shared" si="3"/>
        <v>7</v>
      </c>
      <c r="Y35" s="40">
        <f t="shared" si="4"/>
        <v>7</v>
      </c>
      <c r="Z35" s="38">
        <f t="shared" si="0"/>
        <v>0</v>
      </c>
      <c r="AA35" s="41">
        <f t="shared" si="5"/>
        <v>0</v>
      </c>
      <c r="AB35" s="38"/>
      <c r="AC35" s="42">
        <f t="shared" si="6"/>
        <v>0</v>
      </c>
    </row>
    <row r="36" spans="1:29">
      <c r="A36" s="31">
        <v>23</v>
      </c>
      <c r="B36" s="32"/>
      <c r="C36" s="33"/>
      <c r="D36" s="33"/>
      <c r="E36" s="32"/>
      <c r="F36" s="32"/>
      <c r="G36" s="34">
        <v>5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12"/>
      <c r="U36" s="12"/>
      <c r="V36" s="11">
        <f t="shared" si="1"/>
        <v>0</v>
      </c>
      <c r="W36" s="11">
        <f t="shared" si="2"/>
        <v>0</v>
      </c>
      <c r="X36" s="38">
        <f t="shared" si="3"/>
        <v>7</v>
      </c>
      <c r="Y36" s="40">
        <f t="shared" si="4"/>
        <v>7</v>
      </c>
      <c r="Z36" s="38">
        <f t="shared" si="0"/>
        <v>0</v>
      </c>
      <c r="AA36" s="41">
        <f t="shared" si="5"/>
        <v>0</v>
      </c>
      <c r="AB36" s="38"/>
      <c r="AC36" s="42">
        <f t="shared" si="6"/>
        <v>0</v>
      </c>
    </row>
    <row r="37" spans="1:29">
      <c r="A37" s="31">
        <v>24</v>
      </c>
      <c r="B37" s="32"/>
      <c r="C37" s="33"/>
      <c r="D37" s="33"/>
      <c r="E37" s="32"/>
      <c r="F37" s="32"/>
      <c r="G37" s="34">
        <v>5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12"/>
      <c r="U37" s="12"/>
      <c r="V37" s="11">
        <f t="shared" si="1"/>
        <v>0</v>
      </c>
      <c r="W37" s="11">
        <f t="shared" si="2"/>
        <v>0</v>
      </c>
      <c r="X37" s="38">
        <f t="shared" si="3"/>
        <v>7</v>
      </c>
      <c r="Y37" s="40">
        <f t="shared" si="4"/>
        <v>7</v>
      </c>
      <c r="Z37" s="38">
        <f t="shared" si="0"/>
        <v>0</v>
      </c>
      <c r="AA37" s="41">
        <f t="shared" si="5"/>
        <v>0</v>
      </c>
      <c r="AB37" s="38"/>
      <c r="AC37" s="42">
        <f t="shared" si="6"/>
        <v>0</v>
      </c>
    </row>
    <row r="38" spans="1:29">
      <c r="A38" s="31">
        <v>25</v>
      </c>
      <c r="B38" s="32"/>
      <c r="C38" s="33"/>
      <c r="D38" s="33"/>
      <c r="E38" s="32"/>
      <c r="F38" s="32"/>
      <c r="G38" s="34">
        <v>5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2"/>
      <c r="T38" s="12"/>
      <c r="U38" s="12"/>
      <c r="V38" s="11">
        <f t="shared" si="1"/>
        <v>0</v>
      </c>
      <c r="W38" s="11">
        <f t="shared" si="2"/>
        <v>0</v>
      </c>
      <c r="X38" s="38">
        <f t="shared" si="3"/>
        <v>7</v>
      </c>
      <c r="Y38" s="40">
        <f t="shared" si="4"/>
        <v>7</v>
      </c>
      <c r="Z38" s="38">
        <f t="shared" si="0"/>
        <v>0</v>
      </c>
      <c r="AA38" s="41">
        <f t="shared" si="5"/>
        <v>0</v>
      </c>
      <c r="AB38" s="38"/>
      <c r="AC38" s="42">
        <f t="shared" si="6"/>
        <v>0</v>
      </c>
    </row>
    <row r="39" spans="1:29">
      <c r="A39" s="31">
        <v>26</v>
      </c>
      <c r="B39" s="32"/>
      <c r="C39" s="33"/>
      <c r="D39" s="33"/>
      <c r="E39" s="32"/>
      <c r="F39" s="32"/>
      <c r="G39" s="35">
        <v>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/>
      <c r="T39" s="12"/>
      <c r="U39" s="12"/>
      <c r="V39" s="11">
        <f t="shared" si="1"/>
        <v>0</v>
      </c>
      <c r="W39" s="11">
        <f t="shared" si="2"/>
        <v>0</v>
      </c>
      <c r="X39" s="38">
        <f t="shared" si="3"/>
        <v>7</v>
      </c>
      <c r="Y39" s="40">
        <f t="shared" si="4"/>
        <v>7</v>
      </c>
      <c r="Z39" s="38">
        <f t="shared" si="0"/>
        <v>0</v>
      </c>
      <c r="AA39" s="41">
        <f t="shared" si="5"/>
        <v>0</v>
      </c>
      <c r="AB39" s="38"/>
      <c r="AC39" s="42">
        <f t="shared" si="6"/>
        <v>0</v>
      </c>
    </row>
    <row r="40" spans="1:29">
      <c r="A40" s="31">
        <v>27</v>
      </c>
      <c r="B40" s="32"/>
      <c r="C40" s="33"/>
      <c r="D40" s="33"/>
      <c r="E40" s="32"/>
      <c r="F40" s="32"/>
      <c r="G40" s="35">
        <v>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/>
      <c r="T40" s="12"/>
      <c r="U40" s="12"/>
      <c r="V40" s="11">
        <f t="shared" si="1"/>
        <v>0</v>
      </c>
      <c r="W40" s="11">
        <f t="shared" si="2"/>
        <v>0</v>
      </c>
      <c r="X40" s="38">
        <f t="shared" si="3"/>
        <v>7</v>
      </c>
      <c r="Y40" s="40">
        <f t="shared" si="4"/>
        <v>7</v>
      </c>
      <c r="Z40" s="38">
        <f t="shared" si="0"/>
        <v>0</v>
      </c>
      <c r="AA40" s="41">
        <f t="shared" si="5"/>
        <v>0</v>
      </c>
      <c r="AB40" s="38"/>
      <c r="AC40" s="42">
        <f t="shared" si="6"/>
        <v>0</v>
      </c>
    </row>
    <row r="41" spans="1:29">
      <c r="A41" s="31">
        <v>28</v>
      </c>
      <c r="B41" s="32"/>
      <c r="C41" s="33"/>
      <c r="D41" s="33"/>
      <c r="E41" s="32"/>
      <c r="F41" s="32"/>
      <c r="G41" s="35">
        <v>6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12"/>
      <c r="U41" s="12"/>
      <c r="V41" s="11">
        <f t="shared" si="1"/>
        <v>0</v>
      </c>
      <c r="W41" s="11">
        <f t="shared" si="2"/>
        <v>0</v>
      </c>
      <c r="X41" s="38">
        <f t="shared" si="3"/>
        <v>7</v>
      </c>
      <c r="Y41" s="40">
        <f t="shared" si="4"/>
        <v>7</v>
      </c>
      <c r="Z41" s="38">
        <f t="shared" si="0"/>
        <v>0</v>
      </c>
      <c r="AA41" s="41">
        <f t="shared" si="5"/>
        <v>0</v>
      </c>
      <c r="AB41" s="38"/>
      <c r="AC41" s="42">
        <f t="shared" si="6"/>
        <v>0</v>
      </c>
    </row>
    <row r="42" spans="1:29">
      <c r="A42" s="31">
        <v>29</v>
      </c>
      <c r="B42" s="32"/>
      <c r="C42" s="33"/>
      <c r="D42" s="33"/>
      <c r="E42" s="32"/>
      <c r="F42" s="32"/>
      <c r="G42" s="35">
        <v>6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  <c r="T42" s="12"/>
      <c r="U42" s="12"/>
      <c r="V42" s="11">
        <f t="shared" si="1"/>
        <v>0</v>
      </c>
      <c r="W42" s="11">
        <f t="shared" si="2"/>
        <v>0</v>
      </c>
      <c r="X42" s="38">
        <f t="shared" si="3"/>
        <v>7</v>
      </c>
      <c r="Y42" s="40">
        <f t="shared" si="4"/>
        <v>7</v>
      </c>
      <c r="Z42" s="38">
        <f t="shared" si="0"/>
        <v>0</v>
      </c>
      <c r="AA42" s="41">
        <f t="shared" si="5"/>
        <v>0</v>
      </c>
      <c r="AB42" s="38"/>
      <c r="AC42" s="42">
        <f t="shared" si="6"/>
        <v>0</v>
      </c>
    </row>
    <row r="43" spans="1:29">
      <c r="A43" s="31">
        <v>30</v>
      </c>
      <c r="B43" s="32"/>
      <c r="C43" s="33"/>
      <c r="D43" s="33"/>
      <c r="E43" s="32"/>
      <c r="F43" s="32"/>
      <c r="G43" s="35">
        <v>6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2"/>
      <c r="U43" s="12"/>
      <c r="V43" s="11">
        <f t="shared" si="1"/>
        <v>0</v>
      </c>
      <c r="W43" s="11">
        <f t="shared" si="2"/>
        <v>0</v>
      </c>
      <c r="X43" s="38">
        <f t="shared" si="3"/>
        <v>7</v>
      </c>
      <c r="Y43" s="40">
        <f t="shared" si="4"/>
        <v>7</v>
      </c>
      <c r="Z43" s="38">
        <f t="shared" si="0"/>
        <v>0</v>
      </c>
      <c r="AA43" s="41">
        <f t="shared" si="5"/>
        <v>0</v>
      </c>
      <c r="AB43" s="38"/>
      <c r="AC43" s="42">
        <f t="shared" si="6"/>
        <v>0</v>
      </c>
    </row>
    <row r="44" spans="1:29">
      <c r="A44" s="31">
        <v>31</v>
      </c>
      <c r="B44" s="32"/>
      <c r="C44" s="33"/>
      <c r="D44" s="33"/>
      <c r="E44" s="32"/>
      <c r="F44" s="32"/>
      <c r="G44" s="34">
        <v>7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  <c r="T44" s="12"/>
      <c r="U44" s="12"/>
      <c r="V44" s="11">
        <f t="shared" si="1"/>
        <v>0</v>
      </c>
      <c r="W44" s="11">
        <f t="shared" si="2"/>
        <v>0</v>
      </c>
      <c r="X44" s="38">
        <f t="shared" si="3"/>
        <v>7</v>
      </c>
      <c r="Y44" s="40">
        <f t="shared" si="4"/>
        <v>7</v>
      </c>
      <c r="Z44" s="38">
        <f t="shared" si="0"/>
        <v>0</v>
      </c>
      <c r="AA44" s="41">
        <f t="shared" si="5"/>
        <v>0</v>
      </c>
      <c r="AB44" s="38"/>
      <c r="AC44" s="42">
        <f t="shared" si="6"/>
        <v>0</v>
      </c>
    </row>
    <row r="45" spans="1:29">
      <c r="A45" s="31">
        <v>32</v>
      </c>
      <c r="B45" s="32"/>
      <c r="C45" s="33"/>
      <c r="D45" s="33"/>
      <c r="E45" s="32"/>
      <c r="F45" s="32"/>
      <c r="G45" s="34">
        <v>7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2"/>
      <c r="U45" s="12"/>
      <c r="V45" s="11">
        <f t="shared" si="1"/>
        <v>0</v>
      </c>
      <c r="W45" s="11">
        <f t="shared" si="2"/>
        <v>0</v>
      </c>
      <c r="X45" s="38">
        <f t="shared" si="3"/>
        <v>7</v>
      </c>
      <c r="Y45" s="40">
        <f t="shared" si="4"/>
        <v>7</v>
      </c>
      <c r="Z45" s="38">
        <f t="shared" si="0"/>
        <v>0</v>
      </c>
      <c r="AA45" s="41">
        <f t="shared" si="5"/>
        <v>0</v>
      </c>
      <c r="AB45" s="38"/>
      <c r="AC45" s="42">
        <f t="shared" si="6"/>
        <v>0</v>
      </c>
    </row>
    <row r="46" spans="1:29">
      <c r="A46" s="31">
        <v>33</v>
      </c>
      <c r="B46" s="32"/>
      <c r="C46" s="33"/>
      <c r="D46" s="33"/>
      <c r="E46" s="32"/>
      <c r="F46" s="32"/>
      <c r="G46" s="34">
        <v>7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  <c r="T46" s="12"/>
      <c r="U46" s="12"/>
      <c r="V46" s="11">
        <f t="shared" si="1"/>
        <v>0</v>
      </c>
      <c r="W46" s="11">
        <f t="shared" si="2"/>
        <v>0</v>
      </c>
      <c r="X46" s="38">
        <f t="shared" si="3"/>
        <v>7</v>
      </c>
      <c r="Y46" s="40">
        <f t="shared" si="4"/>
        <v>7</v>
      </c>
      <c r="Z46" s="38">
        <f t="shared" ref="Z46:Z77" si="7">VLOOKUP(G46,BANG2,2,0)</f>
        <v>0</v>
      </c>
      <c r="AA46" s="41">
        <f t="shared" si="5"/>
        <v>0</v>
      </c>
      <c r="AB46" s="38"/>
      <c r="AC46" s="42">
        <f t="shared" si="6"/>
        <v>0</v>
      </c>
    </row>
    <row r="47" spans="1:29">
      <c r="A47" s="31">
        <v>34</v>
      </c>
      <c r="B47" s="32"/>
      <c r="C47" s="33"/>
      <c r="D47" s="33"/>
      <c r="E47" s="32"/>
      <c r="F47" s="32"/>
      <c r="G47" s="34">
        <v>7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/>
      <c r="T47" s="12"/>
      <c r="U47" s="12"/>
      <c r="V47" s="11">
        <f t="shared" si="1"/>
        <v>0</v>
      </c>
      <c r="W47" s="11">
        <f t="shared" si="2"/>
        <v>0</v>
      </c>
      <c r="X47" s="38">
        <f t="shared" si="3"/>
        <v>7</v>
      </c>
      <c r="Y47" s="40">
        <f t="shared" si="4"/>
        <v>7</v>
      </c>
      <c r="Z47" s="38">
        <f t="shared" si="7"/>
        <v>0</v>
      </c>
      <c r="AA47" s="41">
        <f t="shared" si="5"/>
        <v>0</v>
      </c>
      <c r="AB47" s="38"/>
      <c r="AC47" s="42">
        <f t="shared" si="6"/>
        <v>0</v>
      </c>
    </row>
    <row r="48" spans="1:29">
      <c r="A48" s="31">
        <v>35</v>
      </c>
      <c r="B48" s="32"/>
      <c r="C48" s="33"/>
      <c r="D48" s="33"/>
      <c r="E48" s="32"/>
      <c r="F48" s="32"/>
      <c r="G48" s="35">
        <v>8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/>
      <c r="T48" s="12"/>
      <c r="U48" s="12"/>
      <c r="V48" s="11">
        <f t="shared" si="1"/>
        <v>0</v>
      </c>
      <c r="W48" s="11">
        <f t="shared" si="2"/>
        <v>0</v>
      </c>
      <c r="X48" s="38">
        <f t="shared" si="3"/>
        <v>7</v>
      </c>
      <c r="Y48" s="40">
        <f t="shared" si="4"/>
        <v>7</v>
      </c>
      <c r="Z48" s="38">
        <f t="shared" si="7"/>
        <v>0</v>
      </c>
      <c r="AA48" s="41">
        <f t="shared" si="5"/>
        <v>0</v>
      </c>
      <c r="AB48" s="38"/>
      <c r="AC48" s="42">
        <f t="shared" si="6"/>
        <v>0</v>
      </c>
    </row>
    <row r="49" spans="1:29">
      <c r="A49" s="31">
        <v>36</v>
      </c>
      <c r="B49" s="32"/>
      <c r="C49" s="33"/>
      <c r="D49" s="33"/>
      <c r="E49" s="32"/>
      <c r="F49" s="32"/>
      <c r="G49" s="35">
        <v>8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  <c r="U49" s="12"/>
      <c r="V49" s="11">
        <f t="shared" si="1"/>
        <v>0</v>
      </c>
      <c r="W49" s="11">
        <f t="shared" si="2"/>
        <v>0</v>
      </c>
      <c r="X49" s="38">
        <f t="shared" si="3"/>
        <v>7</v>
      </c>
      <c r="Y49" s="40">
        <f t="shared" si="4"/>
        <v>7</v>
      </c>
      <c r="Z49" s="38">
        <f t="shared" si="7"/>
        <v>0</v>
      </c>
      <c r="AA49" s="41">
        <f t="shared" si="5"/>
        <v>0</v>
      </c>
      <c r="AB49" s="38"/>
      <c r="AC49" s="42">
        <f t="shared" si="6"/>
        <v>0</v>
      </c>
    </row>
    <row r="50" spans="1:29">
      <c r="A50" s="31">
        <v>37</v>
      </c>
      <c r="B50" s="32"/>
      <c r="C50" s="33"/>
      <c r="D50" s="33"/>
      <c r="E50" s="32"/>
      <c r="F50" s="32"/>
      <c r="G50" s="35">
        <v>8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  <c r="U50" s="12"/>
      <c r="V50" s="11">
        <f t="shared" si="1"/>
        <v>0</v>
      </c>
      <c r="W50" s="11">
        <f t="shared" si="2"/>
        <v>0</v>
      </c>
      <c r="X50" s="38">
        <f t="shared" si="3"/>
        <v>7</v>
      </c>
      <c r="Y50" s="40">
        <f t="shared" si="4"/>
        <v>7</v>
      </c>
      <c r="Z50" s="38">
        <f t="shared" si="7"/>
        <v>0</v>
      </c>
      <c r="AA50" s="41">
        <f t="shared" si="5"/>
        <v>0</v>
      </c>
      <c r="AB50" s="38"/>
      <c r="AC50" s="42">
        <f t="shared" si="6"/>
        <v>0</v>
      </c>
    </row>
    <row r="51" spans="1:29">
      <c r="A51" s="31">
        <v>38</v>
      </c>
      <c r="B51" s="32"/>
      <c r="C51" s="33"/>
      <c r="D51" s="33"/>
      <c r="E51" s="32"/>
      <c r="F51" s="32"/>
      <c r="G51" s="35">
        <v>8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  <c r="U51" s="12"/>
      <c r="V51" s="11">
        <f t="shared" si="1"/>
        <v>0</v>
      </c>
      <c r="W51" s="11">
        <f t="shared" si="2"/>
        <v>0</v>
      </c>
      <c r="X51" s="38">
        <f t="shared" si="3"/>
        <v>7</v>
      </c>
      <c r="Y51" s="40">
        <f t="shared" si="4"/>
        <v>7</v>
      </c>
      <c r="Z51" s="38">
        <f t="shared" si="7"/>
        <v>0</v>
      </c>
      <c r="AA51" s="41">
        <f t="shared" si="5"/>
        <v>0</v>
      </c>
      <c r="AB51" s="38"/>
      <c r="AC51" s="42">
        <f t="shared" si="6"/>
        <v>0</v>
      </c>
    </row>
    <row r="52" spans="1:29">
      <c r="A52" s="36">
        <v>39</v>
      </c>
      <c r="B52" s="32"/>
      <c r="C52" s="33"/>
      <c r="D52" s="33"/>
      <c r="E52" s="32"/>
      <c r="F52" s="32"/>
      <c r="G52" s="34">
        <v>9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2"/>
      <c r="T52" s="12"/>
      <c r="U52" s="12"/>
      <c r="V52" s="11">
        <f t="shared" si="1"/>
        <v>0</v>
      </c>
      <c r="W52" s="11">
        <f t="shared" ref="W52:W89" si="8">COUNTIF(H52:U52,"-")</f>
        <v>0</v>
      </c>
      <c r="X52" s="38">
        <f t="shared" ref="X52:X89" si="9">7+V52-W52</f>
        <v>7</v>
      </c>
      <c r="Y52" s="40">
        <f t="shared" ref="Y52:Y89" si="10">IF(X52&gt;10,10,X52)</f>
        <v>7</v>
      </c>
      <c r="Z52" s="38">
        <f t="shared" si="7"/>
        <v>0</v>
      </c>
      <c r="AA52" s="41">
        <f t="shared" ref="AA52:AA89" si="11">IF(Z52&gt;10,10,Z52)</f>
        <v>0</v>
      </c>
      <c r="AB52" s="38"/>
      <c r="AC52" s="42">
        <f t="shared" ref="AC52:AC89" si="12">IF(AB52&gt;10,10,AB52)</f>
        <v>0</v>
      </c>
    </row>
    <row r="53" spans="1:29">
      <c r="A53" s="36">
        <v>40</v>
      </c>
      <c r="B53" s="32"/>
      <c r="C53" s="33"/>
      <c r="D53" s="33"/>
      <c r="E53" s="32"/>
      <c r="F53" s="32"/>
      <c r="G53" s="34">
        <v>9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2"/>
      <c r="T53" s="12"/>
      <c r="U53" s="12"/>
      <c r="V53" s="11">
        <f t="shared" si="1"/>
        <v>0</v>
      </c>
      <c r="W53" s="11">
        <f t="shared" si="8"/>
        <v>0</v>
      </c>
      <c r="X53" s="38">
        <f t="shared" si="9"/>
        <v>7</v>
      </c>
      <c r="Y53" s="40">
        <f t="shared" si="10"/>
        <v>7</v>
      </c>
      <c r="Z53" s="38">
        <f t="shared" si="7"/>
        <v>0</v>
      </c>
      <c r="AA53" s="41">
        <f t="shared" si="11"/>
        <v>0</v>
      </c>
      <c r="AB53" s="38"/>
      <c r="AC53" s="42">
        <f t="shared" si="12"/>
        <v>0</v>
      </c>
    </row>
    <row r="54" spans="1:29">
      <c r="A54" s="36">
        <v>41</v>
      </c>
      <c r="B54" s="32"/>
      <c r="C54" s="33"/>
      <c r="D54" s="33"/>
      <c r="E54" s="32"/>
      <c r="F54" s="32"/>
      <c r="G54" s="34">
        <v>9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2"/>
      <c r="T54" s="12"/>
      <c r="U54" s="12"/>
      <c r="V54" s="11">
        <f t="shared" si="1"/>
        <v>0</v>
      </c>
      <c r="W54" s="11">
        <f t="shared" si="8"/>
        <v>0</v>
      </c>
      <c r="X54" s="38">
        <f t="shared" si="9"/>
        <v>7</v>
      </c>
      <c r="Y54" s="40">
        <f t="shared" si="10"/>
        <v>7</v>
      </c>
      <c r="Z54" s="38">
        <f t="shared" si="7"/>
        <v>0</v>
      </c>
      <c r="AA54" s="41">
        <f t="shared" si="11"/>
        <v>0</v>
      </c>
      <c r="AB54" s="38"/>
      <c r="AC54" s="42">
        <f t="shared" si="12"/>
        <v>0</v>
      </c>
    </row>
    <row r="55" spans="1:29">
      <c r="A55" s="36">
        <v>42</v>
      </c>
      <c r="B55" s="32"/>
      <c r="C55" s="33"/>
      <c r="D55" s="33"/>
      <c r="E55" s="32"/>
      <c r="F55" s="32"/>
      <c r="G55" s="34">
        <v>9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  <c r="T55" s="12"/>
      <c r="U55" s="12"/>
      <c r="V55" s="11">
        <f t="shared" si="1"/>
        <v>0</v>
      </c>
      <c r="W55" s="11">
        <f t="shared" si="8"/>
        <v>0</v>
      </c>
      <c r="X55" s="38">
        <f t="shared" si="9"/>
        <v>7</v>
      </c>
      <c r="Y55" s="40">
        <f t="shared" si="10"/>
        <v>7</v>
      </c>
      <c r="Z55" s="38">
        <f t="shared" si="7"/>
        <v>0</v>
      </c>
      <c r="AA55" s="41">
        <f t="shared" si="11"/>
        <v>0</v>
      </c>
      <c r="AB55" s="38"/>
      <c r="AC55" s="42">
        <f t="shared" si="12"/>
        <v>0</v>
      </c>
    </row>
    <row r="56" spans="1:29">
      <c r="A56" s="36">
        <v>43</v>
      </c>
      <c r="B56" s="32"/>
      <c r="C56" s="33"/>
      <c r="D56" s="33"/>
      <c r="E56" s="32"/>
      <c r="F56" s="32"/>
      <c r="G56" s="34">
        <v>9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2"/>
      <c r="T56" s="12"/>
      <c r="U56" s="12"/>
      <c r="V56" s="11">
        <f t="shared" si="1"/>
        <v>0</v>
      </c>
      <c r="W56" s="11">
        <f t="shared" si="8"/>
        <v>0</v>
      </c>
      <c r="X56" s="38">
        <f t="shared" si="9"/>
        <v>7</v>
      </c>
      <c r="Y56" s="40">
        <f t="shared" si="10"/>
        <v>7</v>
      </c>
      <c r="Z56" s="38">
        <f t="shared" si="7"/>
        <v>0</v>
      </c>
      <c r="AA56" s="41">
        <f t="shared" si="11"/>
        <v>0</v>
      </c>
      <c r="AB56" s="38"/>
      <c r="AC56" s="42">
        <f t="shared" si="12"/>
        <v>0</v>
      </c>
    </row>
    <row r="57" spans="1:29">
      <c r="A57" s="36">
        <v>44</v>
      </c>
      <c r="B57" s="32"/>
      <c r="C57" s="33"/>
      <c r="D57" s="33"/>
      <c r="E57" s="32"/>
      <c r="F57" s="32"/>
      <c r="G57" s="35">
        <v>10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2"/>
      <c r="T57" s="12"/>
      <c r="U57" s="12"/>
      <c r="V57" s="11">
        <f t="shared" si="1"/>
        <v>0</v>
      </c>
      <c r="W57" s="11">
        <f t="shared" si="8"/>
        <v>0</v>
      </c>
      <c r="X57" s="38">
        <f t="shared" si="9"/>
        <v>7</v>
      </c>
      <c r="Y57" s="40">
        <f t="shared" si="10"/>
        <v>7</v>
      </c>
      <c r="Z57" s="38">
        <f t="shared" si="7"/>
        <v>0</v>
      </c>
      <c r="AA57" s="41">
        <f t="shared" si="11"/>
        <v>0</v>
      </c>
      <c r="AB57" s="38"/>
      <c r="AC57" s="42">
        <f t="shared" si="12"/>
        <v>0</v>
      </c>
    </row>
    <row r="58" spans="1:29">
      <c r="A58" s="36">
        <v>45</v>
      </c>
      <c r="B58" s="32"/>
      <c r="C58" s="33"/>
      <c r="D58" s="33"/>
      <c r="E58" s="32"/>
      <c r="F58" s="32"/>
      <c r="G58" s="35">
        <v>10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2"/>
      <c r="T58" s="12"/>
      <c r="U58" s="12"/>
      <c r="V58" s="11">
        <f t="shared" si="1"/>
        <v>0</v>
      </c>
      <c r="W58" s="11">
        <f t="shared" si="8"/>
        <v>0</v>
      </c>
      <c r="X58" s="38">
        <f t="shared" si="9"/>
        <v>7</v>
      </c>
      <c r="Y58" s="40">
        <f t="shared" si="10"/>
        <v>7</v>
      </c>
      <c r="Z58" s="38">
        <f t="shared" si="7"/>
        <v>0</v>
      </c>
      <c r="AA58" s="41">
        <f t="shared" si="11"/>
        <v>0</v>
      </c>
      <c r="AB58" s="38"/>
      <c r="AC58" s="42">
        <f t="shared" si="12"/>
        <v>0</v>
      </c>
    </row>
    <row r="59" spans="1:29">
      <c r="A59" s="36">
        <v>46</v>
      </c>
      <c r="B59" s="32"/>
      <c r="C59" s="33"/>
      <c r="D59" s="33"/>
      <c r="E59" s="32"/>
      <c r="F59" s="32"/>
      <c r="G59" s="35">
        <v>10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2"/>
      <c r="T59" s="12"/>
      <c r="U59" s="12"/>
      <c r="V59" s="11">
        <f t="shared" si="1"/>
        <v>0</v>
      </c>
      <c r="W59" s="11">
        <f t="shared" si="8"/>
        <v>0</v>
      </c>
      <c r="X59" s="38">
        <f t="shared" si="9"/>
        <v>7</v>
      </c>
      <c r="Y59" s="40">
        <f t="shared" si="10"/>
        <v>7</v>
      </c>
      <c r="Z59" s="38">
        <f t="shared" si="7"/>
        <v>0</v>
      </c>
      <c r="AA59" s="41">
        <f t="shared" si="11"/>
        <v>0</v>
      </c>
      <c r="AB59" s="38"/>
      <c r="AC59" s="42">
        <f t="shared" si="12"/>
        <v>0</v>
      </c>
    </row>
    <row r="60" spans="1:29">
      <c r="A60" s="36">
        <v>47</v>
      </c>
      <c r="B60" s="32"/>
      <c r="C60" s="33"/>
      <c r="D60" s="33"/>
      <c r="E60" s="32"/>
      <c r="F60" s="32"/>
      <c r="G60" s="35">
        <v>10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2"/>
      <c r="T60" s="12"/>
      <c r="U60" s="12"/>
      <c r="V60" s="11">
        <f t="shared" si="1"/>
        <v>0</v>
      </c>
      <c r="W60" s="11">
        <f t="shared" si="8"/>
        <v>0</v>
      </c>
      <c r="X60" s="38">
        <f t="shared" si="9"/>
        <v>7</v>
      </c>
      <c r="Y60" s="40">
        <f t="shared" si="10"/>
        <v>7</v>
      </c>
      <c r="Z60" s="38">
        <f t="shared" si="7"/>
        <v>0</v>
      </c>
      <c r="AA60" s="41">
        <f t="shared" si="11"/>
        <v>0</v>
      </c>
      <c r="AB60" s="38"/>
      <c r="AC60" s="42">
        <f t="shared" si="12"/>
        <v>0</v>
      </c>
    </row>
    <row r="61" spans="1:29">
      <c r="A61" s="36">
        <v>48</v>
      </c>
      <c r="B61" s="32"/>
      <c r="C61" s="33"/>
      <c r="D61" s="33"/>
      <c r="E61" s="32"/>
      <c r="F61" s="32"/>
      <c r="G61" s="35">
        <v>10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2"/>
      <c r="T61" s="12"/>
      <c r="U61" s="12"/>
      <c r="V61" s="11">
        <f t="shared" si="1"/>
        <v>0</v>
      </c>
      <c r="W61" s="11">
        <f t="shared" si="8"/>
        <v>0</v>
      </c>
      <c r="X61" s="38">
        <f t="shared" si="9"/>
        <v>7</v>
      </c>
      <c r="Y61" s="40">
        <f t="shared" si="10"/>
        <v>7</v>
      </c>
      <c r="Z61" s="38">
        <f t="shared" si="7"/>
        <v>0</v>
      </c>
      <c r="AA61" s="41">
        <f t="shared" si="11"/>
        <v>0</v>
      </c>
      <c r="AB61" s="38"/>
      <c r="AC61" s="42">
        <f t="shared" si="12"/>
        <v>0</v>
      </c>
    </row>
    <row r="62" spans="1:29">
      <c r="A62" s="36">
        <v>49</v>
      </c>
      <c r="B62" s="32"/>
      <c r="C62" s="33"/>
      <c r="D62" s="33"/>
      <c r="E62" s="32"/>
      <c r="F62" s="32"/>
      <c r="G62" s="34">
        <v>11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2"/>
      <c r="T62" s="12"/>
      <c r="U62" s="12"/>
      <c r="V62" s="11">
        <f t="shared" si="1"/>
        <v>0</v>
      </c>
      <c r="W62" s="11">
        <f t="shared" si="8"/>
        <v>0</v>
      </c>
      <c r="X62" s="38">
        <f t="shared" si="9"/>
        <v>7</v>
      </c>
      <c r="Y62" s="40">
        <f t="shared" si="10"/>
        <v>7</v>
      </c>
      <c r="Z62" s="38">
        <f t="shared" si="7"/>
        <v>0</v>
      </c>
      <c r="AA62" s="41">
        <f t="shared" si="11"/>
        <v>0</v>
      </c>
      <c r="AB62" s="38"/>
      <c r="AC62" s="42">
        <f t="shared" si="12"/>
        <v>0</v>
      </c>
    </row>
    <row r="63" spans="1:29">
      <c r="A63" s="36">
        <v>50</v>
      </c>
      <c r="B63" s="32"/>
      <c r="C63" s="33"/>
      <c r="D63" s="33"/>
      <c r="E63" s="32"/>
      <c r="F63" s="32"/>
      <c r="G63" s="34">
        <v>11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2"/>
      <c r="T63" s="12"/>
      <c r="U63" s="12"/>
      <c r="V63" s="11">
        <f t="shared" si="1"/>
        <v>0</v>
      </c>
      <c r="W63" s="11">
        <f t="shared" si="8"/>
        <v>0</v>
      </c>
      <c r="X63" s="38">
        <f t="shared" si="9"/>
        <v>7</v>
      </c>
      <c r="Y63" s="40">
        <f t="shared" si="10"/>
        <v>7</v>
      </c>
      <c r="Z63" s="38">
        <f t="shared" si="7"/>
        <v>0</v>
      </c>
      <c r="AA63" s="41">
        <f t="shared" si="11"/>
        <v>0</v>
      </c>
      <c r="AB63" s="38"/>
      <c r="AC63" s="42">
        <f t="shared" si="12"/>
        <v>0</v>
      </c>
    </row>
    <row r="64" spans="1:29">
      <c r="A64" s="36">
        <v>51</v>
      </c>
      <c r="B64" s="32"/>
      <c r="C64" s="33"/>
      <c r="D64" s="33"/>
      <c r="E64" s="32"/>
      <c r="F64" s="32"/>
      <c r="G64" s="34">
        <v>11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2"/>
      <c r="T64" s="12"/>
      <c r="U64" s="12"/>
      <c r="V64" s="11">
        <f t="shared" si="1"/>
        <v>0</v>
      </c>
      <c r="W64" s="11">
        <f t="shared" si="8"/>
        <v>0</v>
      </c>
      <c r="X64" s="38">
        <f t="shared" si="9"/>
        <v>7</v>
      </c>
      <c r="Y64" s="40">
        <f t="shared" si="10"/>
        <v>7</v>
      </c>
      <c r="Z64" s="38">
        <f t="shared" si="7"/>
        <v>0</v>
      </c>
      <c r="AA64" s="41">
        <f t="shared" si="11"/>
        <v>0</v>
      </c>
      <c r="AB64" s="38"/>
      <c r="AC64" s="42">
        <f t="shared" si="12"/>
        <v>0</v>
      </c>
    </row>
    <row r="65" spans="1:29">
      <c r="A65" s="36">
        <v>52</v>
      </c>
      <c r="B65" s="32"/>
      <c r="C65" s="33"/>
      <c r="D65" s="33"/>
      <c r="E65" s="32"/>
      <c r="F65" s="32"/>
      <c r="G65" s="34">
        <v>11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2"/>
      <c r="T65" s="12"/>
      <c r="U65" s="12"/>
      <c r="V65" s="11">
        <f t="shared" si="1"/>
        <v>0</v>
      </c>
      <c r="W65" s="11">
        <f t="shared" si="8"/>
        <v>0</v>
      </c>
      <c r="X65" s="38">
        <f t="shared" si="9"/>
        <v>7</v>
      </c>
      <c r="Y65" s="40">
        <f t="shared" si="10"/>
        <v>7</v>
      </c>
      <c r="Z65" s="38">
        <f t="shared" si="7"/>
        <v>0</v>
      </c>
      <c r="AA65" s="41">
        <f t="shared" si="11"/>
        <v>0</v>
      </c>
      <c r="AB65" s="38"/>
      <c r="AC65" s="42">
        <f t="shared" si="12"/>
        <v>0</v>
      </c>
    </row>
    <row r="66" spans="1:29">
      <c r="A66" s="36">
        <v>53</v>
      </c>
      <c r="B66" s="32"/>
      <c r="C66" s="33"/>
      <c r="D66" s="33"/>
      <c r="E66" s="32"/>
      <c r="F66" s="32"/>
      <c r="G66" s="34">
        <v>11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2"/>
      <c r="T66" s="12"/>
      <c r="U66" s="12"/>
      <c r="V66" s="11">
        <f t="shared" si="1"/>
        <v>0</v>
      </c>
      <c r="W66" s="11">
        <f t="shared" si="8"/>
        <v>0</v>
      </c>
      <c r="X66" s="38">
        <f t="shared" si="9"/>
        <v>7</v>
      </c>
      <c r="Y66" s="40">
        <f t="shared" si="10"/>
        <v>7</v>
      </c>
      <c r="Z66" s="38">
        <f t="shared" si="7"/>
        <v>0</v>
      </c>
      <c r="AA66" s="41">
        <f t="shared" si="11"/>
        <v>0</v>
      </c>
      <c r="AB66" s="38"/>
      <c r="AC66" s="42">
        <f t="shared" si="12"/>
        <v>0</v>
      </c>
    </row>
    <row r="67" spans="1:29">
      <c r="A67" s="36">
        <v>54</v>
      </c>
      <c r="B67" s="32"/>
      <c r="C67" s="33"/>
      <c r="D67" s="33"/>
      <c r="E67" s="32"/>
      <c r="F67" s="32"/>
      <c r="G67" s="35">
        <v>12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2"/>
      <c r="T67" s="12"/>
      <c r="U67" s="12"/>
      <c r="V67" s="11">
        <f t="shared" si="1"/>
        <v>0</v>
      </c>
      <c r="W67" s="11">
        <f t="shared" si="8"/>
        <v>0</v>
      </c>
      <c r="X67" s="38">
        <f t="shared" si="9"/>
        <v>7</v>
      </c>
      <c r="Y67" s="40">
        <f t="shared" si="10"/>
        <v>7</v>
      </c>
      <c r="Z67" s="38">
        <f t="shared" si="7"/>
        <v>0</v>
      </c>
      <c r="AA67" s="41">
        <f t="shared" si="11"/>
        <v>0</v>
      </c>
      <c r="AB67" s="38"/>
      <c r="AC67" s="42">
        <f t="shared" si="12"/>
        <v>0</v>
      </c>
    </row>
    <row r="68" spans="1:29">
      <c r="A68" s="36">
        <v>55</v>
      </c>
      <c r="B68" s="32"/>
      <c r="C68" s="33"/>
      <c r="D68" s="33"/>
      <c r="E68" s="32"/>
      <c r="F68" s="32"/>
      <c r="G68" s="35">
        <v>12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2"/>
      <c r="T68" s="12"/>
      <c r="U68" s="12"/>
      <c r="V68" s="11">
        <f t="shared" si="1"/>
        <v>0</v>
      </c>
      <c r="W68" s="11">
        <f t="shared" si="8"/>
        <v>0</v>
      </c>
      <c r="X68" s="38">
        <f t="shared" si="9"/>
        <v>7</v>
      </c>
      <c r="Y68" s="40">
        <f t="shared" si="10"/>
        <v>7</v>
      </c>
      <c r="Z68" s="38">
        <f t="shared" si="7"/>
        <v>0</v>
      </c>
      <c r="AA68" s="41">
        <f t="shared" si="11"/>
        <v>0</v>
      </c>
      <c r="AB68" s="38"/>
      <c r="AC68" s="42">
        <f t="shared" si="12"/>
        <v>0</v>
      </c>
    </row>
    <row r="69" spans="1:29">
      <c r="A69" s="36">
        <v>56</v>
      </c>
      <c r="B69" s="32"/>
      <c r="C69" s="33"/>
      <c r="D69" s="33"/>
      <c r="E69" s="32"/>
      <c r="F69" s="32"/>
      <c r="G69" s="35">
        <v>12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2"/>
      <c r="T69" s="12"/>
      <c r="U69" s="12"/>
      <c r="V69" s="11">
        <f t="shared" si="1"/>
        <v>0</v>
      </c>
      <c r="W69" s="11">
        <f t="shared" si="8"/>
        <v>0</v>
      </c>
      <c r="X69" s="38">
        <f t="shared" si="9"/>
        <v>7</v>
      </c>
      <c r="Y69" s="40">
        <f t="shared" si="10"/>
        <v>7</v>
      </c>
      <c r="Z69" s="38">
        <f t="shared" si="7"/>
        <v>0</v>
      </c>
      <c r="AA69" s="41">
        <f t="shared" si="11"/>
        <v>0</v>
      </c>
      <c r="AB69" s="38"/>
      <c r="AC69" s="42">
        <f t="shared" si="12"/>
        <v>0</v>
      </c>
    </row>
    <row r="70" spans="1:29">
      <c r="A70" s="36">
        <v>57</v>
      </c>
      <c r="B70" s="32"/>
      <c r="C70" s="33"/>
      <c r="D70" s="33"/>
      <c r="E70" s="32"/>
      <c r="F70" s="32"/>
      <c r="G70" s="35">
        <v>12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2"/>
      <c r="T70" s="12"/>
      <c r="U70" s="12"/>
      <c r="V70" s="11">
        <f t="shared" si="1"/>
        <v>0</v>
      </c>
      <c r="W70" s="11">
        <f t="shared" si="8"/>
        <v>0</v>
      </c>
      <c r="X70" s="38">
        <f t="shared" si="9"/>
        <v>7</v>
      </c>
      <c r="Y70" s="40">
        <f t="shared" si="10"/>
        <v>7</v>
      </c>
      <c r="Z70" s="38">
        <f t="shared" si="7"/>
        <v>0</v>
      </c>
      <c r="AA70" s="41">
        <f t="shared" si="11"/>
        <v>0</v>
      </c>
      <c r="AB70" s="38"/>
      <c r="AC70" s="42">
        <f t="shared" si="12"/>
        <v>0</v>
      </c>
    </row>
    <row r="71" spans="1:29">
      <c r="A71" s="36">
        <v>58</v>
      </c>
      <c r="B71" s="32"/>
      <c r="C71" s="33"/>
      <c r="D71" s="33"/>
      <c r="E71" s="32"/>
      <c r="F71" s="32"/>
      <c r="G71" s="35">
        <v>12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2"/>
      <c r="T71" s="12"/>
      <c r="U71" s="12"/>
      <c r="V71" s="11">
        <f t="shared" si="1"/>
        <v>0</v>
      </c>
      <c r="W71" s="11">
        <f t="shared" si="8"/>
        <v>0</v>
      </c>
      <c r="X71" s="38">
        <f t="shared" si="9"/>
        <v>7</v>
      </c>
      <c r="Y71" s="40">
        <f t="shared" si="10"/>
        <v>7</v>
      </c>
      <c r="Z71" s="38">
        <f t="shared" si="7"/>
        <v>0</v>
      </c>
      <c r="AA71" s="41">
        <f t="shared" si="11"/>
        <v>0</v>
      </c>
      <c r="AB71" s="38"/>
      <c r="AC71" s="42">
        <f t="shared" si="12"/>
        <v>0</v>
      </c>
    </row>
    <row r="72" spans="1:29">
      <c r="A72" s="36">
        <v>59</v>
      </c>
      <c r="B72" s="32"/>
      <c r="C72" s="33"/>
      <c r="D72" s="33"/>
      <c r="E72" s="32"/>
      <c r="F72" s="32"/>
      <c r="G72" s="34">
        <v>13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2"/>
      <c r="T72" s="12"/>
      <c r="U72" s="12"/>
      <c r="V72" s="11">
        <f t="shared" si="1"/>
        <v>0</v>
      </c>
      <c r="W72" s="11">
        <f t="shared" si="8"/>
        <v>0</v>
      </c>
      <c r="X72" s="38">
        <f t="shared" si="9"/>
        <v>7</v>
      </c>
      <c r="Y72" s="40">
        <f t="shared" si="10"/>
        <v>7</v>
      </c>
      <c r="Z72" s="38">
        <f t="shared" si="7"/>
        <v>0</v>
      </c>
      <c r="AA72" s="41">
        <f t="shared" si="11"/>
        <v>0</v>
      </c>
      <c r="AB72" s="38"/>
      <c r="AC72" s="42">
        <f t="shared" si="12"/>
        <v>0</v>
      </c>
    </row>
    <row r="73" spans="1:29">
      <c r="A73" s="36">
        <v>60</v>
      </c>
      <c r="B73" s="32"/>
      <c r="C73" s="33"/>
      <c r="D73" s="33"/>
      <c r="E73" s="32"/>
      <c r="F73" s="32"/>
      <c r="G73" s="34">
        <v>13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2"/>
      <c r="T73" s="12"/>
      <c r="U73" s="12"/>
      <c r="V73" s="11">
        <f t="shared" si="1"/>
        <v>0</v>
      </c>
      <c r="W73" s="11">
        <f t="shared" si="8"/>
        <v>0</v>
      </c>
      <c r="X73" s="38">
        <f t="shared" si="9"/>
        <v>7</v>
      </c>
      <c r="Y73" s="40">
        <f t="shared" si="10"/>
        <v>7</v>
      </c>
      <c r="Z73" s="38">
        <f t="shared" si="7"/>
        <v>0</v>
      </c>
      <c r="AA73" s="41">
        <f t="shared" si="11"/>
        <v>0</v>
      </c>
      <c r="AB73" s="38"/>
      <c r="AC73" s="42">
        <f t="shared" si="12"/>
        <v>0</v>
      </c>
    </row>
    <row r="74" spans="1:29">
      <c r="A74" s="36">
        <v>61</v>
      </c>
      <c r="B74" s="32"/>
      <c r="C74" s="33"/>
      <c r="D74" s="33"/>
      <c r="E74" s="32"/>
      <c r="F74" s="32"/>
      <c r="G74" s="34">
        <v>13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2"/>
      <c r="T74" s="12"/>
      <c r="U74" s="12"/>
      <c r="V74" s="11">
        <f t="shared" si="1"/>
        <v>0</v>
      </c>
      <c r="W74" s="11">
        <f t="shared" si="8"/>
        <v>0</v>
      </c>
      <c r="X74" s="38">
        <f t="shared" si="9"/>
        <v>7</v>
      </c>
      <c r="Y74" s="40">
        <f t="shared" si="10"/>
        <v>7</v>
      </c>
      <c r="Z74" s="38">
        <f t="shared" si="7"/>
        <v>0</v>
      </c>
      <c r="AA74" s="41">
        <f t="shared" si="11"/>
        <v>0</v>
      </c>
      <c r="AB74" s="38"/>
      <c r="AC74" s="42">
        <f t="shared" si="12"/>
        <v>0</v>
      </c>
    </row>
    <row r="75" spans="1:29">
      <c r="A75" s="36">
        <v>62</v>
      </c>
      <c r="B75" s="32"/>
      <c r="C75" s="33"/>
      <c r="D75" s="33"/>
      <c r="E75" s="32"/>
      <c r="F75" s="32"/>
      <c r="G75" s="34">
        <v>13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2"/>
      <c r="T75" s="12"/>
      <c r="U75" s="12"/>
      <c r="V75" s="11">
        <f t="shared" si="1"/>
        <v>0</v>
      </c>
      <c r="W75" s="11">
        <f t="shared" si="8"/>
        <v>0</v>
      </c>
      <c r="X75" s="38">
        <f t="shared" si="9"/>
        <v>7</v>
      </c>
      <c r="Y75" s="40">
        <f t="shared" si="10"/>
        <v>7</v>
      </c>
      <c r="Z75" s="38">
        <f t="shared" si="7"/>
        <v>0</v>
      </c>
      <c r="AA75" s="41">
        <f t="shared" si="11"/>
        <v>0</v>
      </c>
      <c r="AB75" s="38"/>
      <c r="AC75" s="42">
        <f t="shared" si="12"/>
        <v>0</v>
      </c>
    </row>
    <row r="76" spans="1:29">
      <c r="A76" s="36">
        <v>63</v>
      </c>
      <c r="B76" s="32"/>
      <c r="C76" s="33"/>
      <c r="D76" s="33"/>
      <c r="E76" s="32"/>
      <c r="F76" s="32"/>
      <c r="G76" s="34">
        <v>13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2"/>
      <c r="T76" s="12"/>
      <c r="U76" s="12"/>
      <c r="V76" s="11">
        <f t="shared" si="1"/>
        <v>0</v>
      </c>
      <c r="W76" s="11">
        <f t="shared" si="8"/>
        <v>0</v>
      </c>
      <c r="X76" s="38">
        <f t="shared" si="9"/>
        <v>7</v>
      </c>
      <c r="Y76" s="40">
        <f t="shared" si="10"/>
        <v>7</v>
      </c>
      <c r="Z76" s="38">
        <f t="shared" si="7"/>
        <v>0</v>
      </c>
      <c r="AA76" s="41">
        <f t="shared" si="11"/>
        <v>0</v>
      </c>
      <c r="AB76" s="38"/>
      <c r="AC76" s="42">
        <f t="shared" si="12"/>
        <v>0</v>
      </c>
    </row>
    <row r="77" spans="1:29">
      <c r="A77" s="36">
        <v>64</v>
      </c>
      <c r="B77" s="32"/>
      <c r="C77" s="33"/>
      <c r="D77" s="33"/>
      <c r="E77" s="32"/>
      <c r="F77" s="32"/>
      <c r="G77" s="35">
        <v>14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2"/>
      <c r="T77" s="12"/>
      <c r="U77" s="12"/>
      <c r="V77" s="11">
        <f t="shared" si="1"/>
        <v>0</v>
      </c>
      <c r="W77" s="11">
        <f t="shared" si="8"/>
        <v>0</v>
      </c>
      <c r="X77" s="38">
        <f t="shared" si="9"/>
        <v>7</v>
      </c>
      <c r="Y77" s="40">
        <f t="shared" si="10"/>
        <v>7</v>
      </c>
      <c r="Z77" s="38">
        <f t="shared" si="7"/>
        <v>0</v>
      </c>
      <c r="AA77" s="41">
        <f t="shared" si="11"/>
        <v>0</v>
      </c>
      <c r="AB77" s="38"/>
      <c r="AC77" s="42">
        <f t="shared" si="12"/>
        <v>0</v>
      </c>
    </row>
    <row r="78" spans="1:29">
      <c r="A78" s="36">
        <v>65</v>
      </c>
      <c r="B78" s="32"/>
      <c r="C78" s="33"/>
      <c r="D78" s="33"/>
      <c r="E78" s="32"/>
      <c r="F78" s="32"/>
      <c r="G78" s="35">
        <v>14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2"/>
      <c r="T78" s="12"/>
      <c r="U78" s="12"/>
      <c r="V78" s="11">
        <f t="shared" si="1"/>
        <v>0</v>
      </c>
      <c r="W78" s="11">
        <f t="shared" si="8"/>
        <v>0</v>
      </c>
      <c r="X78" s="38">
        <f t="shared" si="9"/>
        <v>7</v>
      </c>
      <c r="Y78" s="40">
        <f t="shared" si="10"/>
        <v>7</v>
      </c>
      <c r="Z78" s="38">
        <f t="shared" ref="Z78:Z89" si="13">VLOOKUP(G78,BANG2,2,0)</f>
        <v>0</v>
      </c>
      <c r="AA78" s="41">
        <f t="shared" si="11"/>
        <v>0</v>
      </c>
      <c r="AB78" s="38"/>
      <c r="AC78" s="42">
        <f t="shared" si="12"/>
        <v>0</v>
      </c>
    </row>
    <row r="79" spans="1:29">
      <c r="A79" s="36">
        <v>66</v>
      </c>
      <c r="B79" s="32"/>
      <c r="C79" s="33"/>
      <c r="D79" s="33"/>
      <c r="E79" s="32"/>
      <c r="F79" s="32"/>
      <c r="G79" s="35">
        <v>14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2"/>
      <c r="T79" s="12"/>
      <c r="U79" s="12"/>
      <c r="V79" s="11">
        <f t="shared" ref="V79:V89" si="14">COUNTIF(H79:U79,"+")</f>
        <v>0</v>
      </c>
      <c r="W79" s="11">
        <f t="shared" si="8"/>
        <v>0</v>
      </c>
      <c r="X79" s="38">
        <f t="shared" si="9"/>
        <v>7</v>
      </c>
      <c r="Y79" s="40">
        <f t="shared" si="10"/>
        <v>7</v>
      </c>
      <c r="Z79" s="38">
        <f t="shared" si="13"/>
        <v>0</v>
      </c>
      <c r="AA79" s="41">
        <f t="shared" si="11"/>
        <v>0</v>
      </c>
      <c r="AB79" s="38"/>
      <c r="AC79" s="42">
        <f t="shared" si="12"/>
        <v>0</v>
      </c>
    </row>
    <row r="80" spans="1:29">
      <c r="A80" s="36">
        <v>67</v>
      </c>
      <c r="B80" s="32"/>
      <c r="C80" s="33"/>
      <c r="D80" s="33"/>
      <c r="E80" s="32"/>
      <c r="F80" s="32"/>
      <c r="G80" s="35">
        <v>14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2"/>
      <c r="T80" s="12"/>
      <c r="U80" s="12"/>
      <c r="V80" s="11">
        <f t="shared" si="14"/>
        <v>0</v>
      </c>
      <c r="W80" s="11">
        <f t="shared" si="8"/>
        <v>0</v>
      </c>
      <c r="X80" s="38">
        <f t="shared" si="9"/>
        <v>7</v>
      </c>
      <c r="Y80" s="40">
        <f t="shared" si="10"/>
        <v>7</v>
      </c>
      <c r="Z80" s="38">
        <f t="shared" si="13"/>
        <v>0</v>
      </c>
      <c r="AA80" s="41">
        <f t="shared" si="11"/>
        <v>0</v>
      </c>
      <c r="AB80" s="38"/>
      <c r="AC80" s="42">
        <f t="shared" si="12"/>
        <v>0</v>
      </c>
    </row>
    <row r="81" spans="1:29">
      <c r="A81" s="36">
        <v>68</v>
      </c>
      <c r="B81" s="32"/>
      <c r="C81" s="33"/>
      <c r="D81" s="33"/>
      <c r="E81" s="32"/>
      <c r="F81" s="32"/>
      <c r="G81" s="35">
        <v>14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2"/>
      <c r="T81" s="12"/>
      <c r="U81" s="12"/>
      <c r="V81" s="11">
        <f t="shared" si="14"/>
        <v>0</v>
      </c>
      <c r="W81" s="11">
        <f t="shared" si="8"/>
        <v>0</v>
      </c>
      <c r="X81" s="38">
        <f t="shared" si="9"/>
        <v>7</v>
      </c>
      <c r="Y81" s="40">
        <f t="shared" si="10"/>
        <v>7</v>
      </c>
      <c r="Z81" s="38">
        <f t="shared" si="13"/>
        <v>0</v>
      </c>
      <c r="AA81" s="41">
        <f t="shared" si="11"/>
        <v>0</v>
      </c>
      <c r="AB81" s="38"/>
      <c r="AC81" s="42">
        <f t="shared" si="12"/>
        <v>0</v>
      </c>
    </row>
    <row r="82" spans="1:29">
      <c r="A82" s="36">
        <v>69</v>
      </c>
      <c r="B82" s="32"/>
      <c r="C82" s="33"/>
      <c r="D82" s="33"/>
      <c r="E82" s="32"/>
      <c r="F82" s="32"/>
      <c r="G82" s="34">
        <v>15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2"/>
      <c r="T82" s="12"/>
      <c r="U82" s="12"/>
      <c r="V82" s="11">
        <f t="shared" si="14"/>
        <v>0</v>
      </c>
      <c r="W82" s="11">
        <f t="shared" si="8"/>
        <v>0</v>
      </c>
      <c r="X82" s="38">
        <f t="shared" si="9"/>
        <v>7</v>
      </c>
      <c r="Y82" s="40">
        <f t="shared" si="10"/>
        <v>7</v>
      </c>
      <c r="Z82" s="38">
        <f t="shared" si="13"/>
        <v>0</v>
      </c>
      <c r="AA82" s="41">
        <f t="shared" si="11"/>
        <v>0</v>
      </c>
      <c r="AB82" s="38"/>
      <c r="AC82" s="42">
        <f t="shared" si="12"/>
        <v>0</v>
      </c>
    </row>
    <row r="83" spans="1:29">
      <c r="A83" s="36">
        <v>70</v>
      </c>
      <c r="B83" s="32"/>
      <c r="C83" s="33"/>
      <c r="D83" s="33"/>
      <c r="E83" s="32"/>
      <c r="F83" s="32"/>
      <c r="G83" s="34">
        <v>15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2"/>
      <c r="T83" s="12"/>
      <c r="U83" s="12"/>
      <c r="V83" s="11">
        <f t="shared" si="14"/>
        <v>0</v>
      </c>
      <c r="W83" s="11">
        <f t="shared" si="8"/>
        <v>0</v>
      </c>
      <c r="X83" s="38">
        <f t="shared" si="9"/>
        <v>7</v>
      </c>
      <c r="Y83" s="40">
        <f t="shared" si="10"/>
        <v>7</v>
      </c>
      <c r="Z83" s="38">
        <f t="shared" si="13"/>
        <v>0</v>
      </c>
      <c r="AA83" s="41">
        <f t="shared" si="11"/>
        <v>0</v>
      </c>
      <c r="AB83" s="38"/>
      <c r="AC83" s="42">
        <f t="shared" si="12"/>
        <v>0</v>
      </c>
    </row>
    <row r="84" spans="1:29">
      <c r="A84" s="36">
        <v>71</v>
      </c>
      <c r="B84" s="32"/>
      <c r="C84" s="33"/>
      <c r="D84" s="33"/>
      <c r="E84" s="32"/>
      <c r="F84" s="32"/>
      <c r="G84" s="34">
        <v>15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2"/>
      <c r="T84" s="12"/>
      <c r="U84" s="12"/>
      <c r="V84" s="11">
        <f t="shared" si="14"/>
        <v>0</v>
      </c>
      <c r="W84" s="11">
        <f t="shared" si="8"/>
        <v>0</v>
      </c>
      <c r="X84" s="38">
        <f t="shared" si="9"/>
        <v>7</v>
      </c>
      <c r="Y84" s="40">
        <f t="shared" si="10"/>
        <v>7</v>
      </c>
      <c r="Z84" s="38">
        <f t="shared" si="13"/>
        <v>0</v>
      </c>
      <c r="AA84" s="41">
        <f t="shared" si="11"/>
        <v>0</v>
      </c>
      <c r="AB84" s="38"/>
      <c r="AC84" s="42">
        <f t="shared" si="12"/>
        <v>0</v>
      </c>
    </row>
    <row r="85" spans="1:29">
      <c r="A85" s="36">
        <v>72</v>
      </c>
      <c r="B85" s="32"/>
      <c r="C85" s="33"/>
      <c r="D85" s="33"/>
      <c r="E85" s="32"/>
      <c r="F85" s="32"/>
      <c r="G85" s="34">
        <v>15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2"/>
      <c r="T85" s="12"/>
      <c r="U85" s="12"/>
      <c r="V85" s="11">
        <f t="shared" si="14"/>
        <v>0</v>
      </c>
      <c r="W85" s="11">
        <f t="shared" si="8"/>
        <v>0</v>
      </c>
      <c r="X85" s="38">
        <f t="shared" si="9"/>
        <v>7</v>
      </c>
      <c r="Y85" s="40">
        <f t="shared" si="10"/>
        <v>7</v>
      </c>
      <c r="Z85" s="38">
        <f t="shared" si="13"/>
        <v>0</v>
      </c>
      <c r="AA85" s="41">
        <f t="shared" si="11"/>
        <v>0</v>
      </c>
      <c r="AB85" s="38"/>
      <c r="AC85" s="42">
        <f t="shared" si="12"/>
        <v>0</v>
      </c>
    </row>
    <row r="86" spans="1:29">
      <c r="A86" s="36">
        <v>73</v>
      </c>
      <c r="B86" s="32"/>
      <c r="C86" s="33"/>
      <c r="D86" s="33"/>
      <c r="E86" s="32"/>
      <c r="F86" s="32"/>
      <c r="G86" s="34">
        <v>15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2"/>
      <c r="T86" s="12"/>
      <c r="U86" s="12"/>
      <c r="V86" s="11">
        <f t="shared" si="14"/>
        <v>0</v>
      </c>
      <c r="W86" s="11">
        <f t="shared" si="8"/>
        <v>0</v>
      </c>
      <c r="X86" s="38">
        <f t="shared" si="9"/>
        <v>7</v>
      </c>
      <c r="Y86" s="40">
        <f t="shared" si="10"/>
        <v>7</v>
      </c>
      <c r="Z86" s="38">
        <f t="shared" si="13"/>
        <v>0</v>
      </c>
      <c r="AA86" s="41">
        <f t="shared" si="11"/>
        <v>0</v>
      </c>
      <c r="AB86" s="38"/>
      <c r="AC86" s="42">
        <f t="shared" si="12"/>
        <v>0</v>
      </c>
    </row>
    <row r="87" spans="1:29">
      <c r="A87" s="36">
        <v>74</v>
      </c>
      <c r="B87" s="32"/>
      <c r="C87" s="33"/>
      <c r="D87" s="33"/>
      <c r="E87" s="32"/>
      <c r="F87" s="32"/>
      <c r="G87" s="35">
        <v>1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2"/>
      <c r="T87" s="12"/>
      <c r="U87" s="12"/>
      <c r="V87" s="11">
        <f t="shared" si="14"/>
        <v>0</v>
      </c>
      <c r="W87" s="11">
        <f t="shared" si="8"/>
        <v>0</v>
      </c>
      <c r="X87" s="38">
        <f t="shared" si="9"/>
        <v>7</v>
      </c>
      <c r="Y87" s="40">
        <f t="shared" si="10"/>
        <v>7</v>
      </c>
      <c r="Z87" s="38">
        <f t="shared" si="13"/>
        <v>0</v>
      </c>
      <c r="AA87" s="41">
        <f t="shared" si="11"/>
        <v>0</v>
      </c>
      <c r="AB87" s="38"/>
      <c r="AC87" s="42">
        <f t="shared" si="12"/>
        <v>0</v>
      </c>
    </row>
    <row r="88" spans="1:29">
      <c r="A88" s="36">
        <v>75</v>
      </c>
      <c r="B88" s="32"/>
      <c r="C88" s="33"/>
      <c r="D88" s="33"/>
      <c r="E88" s="32"/>
      <c r="F88" s="32"/>
      <c r="G88" s="35">
        <v>1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2"/>
      <c r="T88" s="12"/>
      <c r="U88" s="12"/>
      <c r="V88" s="11">
        <f t="shared" si="14"/>
        <v>0</v>
      </c>
      <c r="W88" s="11">
        <f t="shared" si="8"/>
        <v>0</v>
      </c>
      <c r="X88" s="38">
        <f t="shared" si="9"/>
        <v>7</v>
      </c>
      <c r="Y88" s="40">
        <f t="shared" si="10"/>
        <v>7</v>
      </c>
      <c r="Z88" s="38">
        <f t="shared" si="13"/>
        <v>0</v>
      </c>
      <c r="AA88" s="41">
        <f t="shared" si="11"/>
        <v>0</v>
      </c>
      <c r="AB88" s="38"/>
      <c r="AC88" s="42">
        <f t="shared" si="12"/>
        <v>0</v>
      </c>
    </row>
    <row r="89" spans="1:29">
      <c r="A89" s="36">
        <v>76</v>
      </c>
      <c r="B89" s="32"/>
      <c r="C89" s="33"/>
      <c r="D89" s="33"/>
      <c r="E89" s="32"/>
      <c r="F89" s="32"/>
      <c r="G89" s="35">
        <v>1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2"/>
      <c r="T89" s="12"/>
      <c r="U89" s="12"/>
      <c r="V89" s="11">
        <f t="shared" si="14"/>
        <v>0</v>
      </c>
      <c r="W89" s="11">
        <f t="shared" si="8"/>
        <v>0</v>
      </c>
      <c r="X89" s="38">
        <f t="shared" si="9"/>
        <v>7</v>
      </c>
      <c r="Y89" s="40">
        <f t="shared" si="10"/>
        <v>7</v>
      </c>
      <c r="Z89" s="38">
        <f t="shared" si="13"/>
        <v>0</v>
      </c>
      <c r="AA89" s="41">
        <f t="shared" si="11"/>
        <v>0</v>
      </c>
      <c r="AB89" s="38"/>
      <c r="AC89" s="42">
        <f t="shared" si="12"/>
        <v>0</v>
      </c>
    </row>
    <row r="91" spans="2:17">
      <c r="B91" s="1" t="s">
        <v>445</v>
      </c>
      <c r="Q91" s="1" t="s">
        <v>446</v>
      </c>
    </row>
    <row r="92" spans="2:2">
      <c r="B92" s="1" t="s">
        <v>447</v>
      </c>
    </row>
    <row r="93" spans="2:2">
      <c r="B93" s="1" t="s">
        <v>448</v>
      </c>
    </row>
    <row r="94" spans="2:3">
      <c r="B94" s="14" t="s">
        <v>254</v>
      </c>
      <c r="C94" s="14"/>
    </row>
    <row r="95" spans="2:8">
      <c r="B95" s="14" t="s">
        <v>255</v>
      </c>
      <c r="C95" s="14"/>
      <c r="D95" s="14"/>
      <c r="E95" s="14"/>
      <c r="F95" s="14"/>
      <c r="G95" s="43"/>
      <c r="H95" s="14"/>
    </row>
    <row r="96" spans="2:8">
      <c r="B96" s="14" t="s">
        <v>256</v>
      </c>
      <c r="C96" s="14"/>
      <c r="D96" s="14"/>
      <c r="E96" s="14"/>
      <c r="F96" s="14"/>
      <c r="G96" s="43"/>
      <c r="H96" s="14"/>
    </row>
    <row r="97" spans="4:5">
      <c r="D97" s="44" t="s">
        <v>257</v>
      </c>
      <c r="E97" s="44"/>
    </row>
    <row r="99" spans="4:8">
      <c r="D99" s="34" t="s">
        <v>13</v>
      </c>
      <c r="E99" s="34" t="s">
        <v>38</v>
      </c>
      <c r="F99" s="23"/>
      <c r="G99" s="18"/>
      <c r="H99" s="23"/>
    </row>
    <row r="100" spans="4:8">
      <c r="D100" s="45">
        <v>1</v>
      </c>
      <c r="E100" s="11">
        <v>0</v>
      </c>
      <c r="F100" s="23"/>
      <c r="G100" s="46"/>
      <c r="H100" s="46"/>
    </row>
    <row r="101" spans="4:8">
      <c r="D101" s="45">
        <v>2</v>
      </c>
      <c r="E101" s="11">
        <v>0</v>
      </c>
      <c r="F101" s="23"/>
      <c r="G101" s="46"/>
      <c r="H101" s="46"/>
    </row>
    <row r="102" spans="4:8">
      <c r="D102" s="45">
        <v>3</v>
      </c>
      <c r="E102" s="11">
        <v>0</v>
      </c>
      <c r="F102" s="23"/>
      <c r="G102" s="46"/>
      <c r="H102" s="46"/>
    </row>
    <row r="103" spans="4:8">
      <c r="D103" s="45">
        <v>4</v>
      </c>
      <c r="E103" s="11">
        <v>0</v>
      </c>
      <c r="F103" s="23"/>
      <c r="G103" s="46"/>
      <c r="H103" s="46"/>
    </row>
    <row r="104" spans="4:8">
      <c r="D104" s="45">
        <v>5</v>
      </c>
      <c r="E104" s="11">
        <v>0</v>
      </c>
      <c r="F104" s="23"/>
      <c r="G104" s="46"/>
      <c r="H104" s="46"/>
    </row>
    <row r="105" spans="4:8">
      <c r="D105" s="45">
        <v>6</v>
      </c>
      <c r="E105" s="11">
        <v>0</v>
      </c>
      <c r="F105" s="23"/>
      <c r="G105" s="46"/>
      <c r="H105" s="46"/>
    </row>
    <row r="106" spans="4:8">
      <c r="D106" s="45">
        <v>7</v>
      </c>
      <c r="E106" s="11">
        <v>0</v>
      </c>
      <c r="F106" s="23"/>
      <c r="G106" s="46"/>
      <c r="H106" s="46"/>
    </row>
    <row r="107" spans="4:8">
      <c r="D107" s="45">
        <v>8</v>
      </c>
      <c r="E107" s="11">
        <v>0</v>
      </c>
      <c r="F107" s="23"/>
      <c r="G107" s="46"/>
      <c r="H107" s="46"/>
    </row>
    <row r="108" spans="4:8">
      <c r="D108" s="45">
        <v>9</v>
      </c>
      <c r="E108" s="11">
        <v>0</v>
      </c>
      <c r="F108" s="23"/>
      <c r="G108" s="46"/>
      <c r="H108" s="46"/>
    </row>
    <row r="109" spans="4:8">
      <c r="D109" s="45">
        <v>10</v>
      </c>
      <c r="E109" s="11">
        <v>0</v>
      </c>
      <c r="F109" s="23"/>
      <c r="G109" s="46"/>
      <c r="H109" s="46"/>
    </row>
    <row r="110" spans="4:5">
      <c r="D110" s="45">
        <v>11</v>
      </c>
      <c r="E110" s="11">
        <v>0</v>
      </c>
    </row>
    <row r="111" spans="4:5">
      <c r="D111" s="45">
        <v>12</v>
      </c>
      <c r="E111" s="11">
        <v>0</v>
      </c>
    </row>
    <row r="112" spans="4:5">
      <c r="D112" s="45">
        <v>13</v>
      </c>
      <c r="E112" s="11">
        <v>0</v>
      </c>
    </row>
    <row r="113" spans="4:5">
      <c r="D113" s="45">
        <v>14</v>
      </c>
      <c r="E113" s="11">
        <v>0</v>
      </c>
    </row>
    <row r="114" spans="4:5">
      <c r="D114" s="45">
        <v>15</v>
      </c>
      <c r="E114" s="11">
        <v>0</v>
      </c>
    </row>
  </sheetData>
  <mergeCells count="11">
    <mergeCell ref="D97:E97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</mergeCells>
  <conditionalFormatting sqref="C7:C12">
    <cfRule type="cellIs" dxfId="0" priority="3" stopIfTrue="1" operator="equal">
      <formula>0</formula>
    </cfRule>
  </conditionalFormatting>
  <conditionalFormatting sqref="A14:F51 B89:F89 B52:F70 A52:A89">
    <cfRule type="cellIs" dxfId="0" priority="2" stopIfTrue="1" operator="equal">
      <formula>0</formula>
    </cfRule>
  </conditionalFormatting>
  <conditionalFormatting sqref="B71:F88">
    <cfRule type="cellIs" dxfId="0" priority="1" stopIfTrue="1" operator="equal">
      <formula>0</formula>
    </cfRule>
  </conditionalFormatting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E71"/>
  <sheetViews>
    <sheetView topLeftCell="G12" workbookViewId="0">
      <selection activeCell="J20" sqref="J20"/>
    </sheetView>
  </sheetViews>
  <sheetFormatPr defaultColWidth="9" defaultRowHeight="18.75"/>
  <cols>
    <col min="1" max="1" width="5.21904761904762" style="1" customWidth="1"/>
    <col min="2" max="2" width="18.1047619047619" style="1" customWidth="1"/>
    <col min="3" max="3" width="28.7809523809524" style="1" customWidth="1"/>
    <col min="4" max="4" width="11.6666666666667" style="1" customWidth="1"/>
    <col min="5" max="5" width="12.1047619047619" style="1" customWidth="1"/>
    <col min="6" max="6" width="16.552380952381" style="1" customWidth="1"/>
    <col min="7" max="7" width="7.1047619047619" style="1" customWidth="1"/>
    <col min="8" max="29" width="7.78095238095238" style="1" customWidth="1"/>
    <col min="30" max="30" width="9.78095238095238" style="1" customWidth="1"/>
    <col min="31" max="31" width="16.552380952381" style="1" customWidth="1"/>
    <col min="32" max="16384" width="8.88571428571429" style="1"/>
  </cols>
  <sheetData>
    <row r="5" ht="20.25" spans="4:4">
      <c r="D5" s="2" t="s">
        <v>0</v>
      </c>
    </row>
    <row r="6" ht="20.25" spans="4:4">
      <c r="D6" s="2"/>
    </row>
    <row r="7" spans="3:30">
      <c r="C7" s="3" t="s">
        <v>1</v>
      </c>
      <c r="D7" s="4"/>
      <c r="E7" s="5"/>
      <c r="F7" s="6"/>
      <c r="G7" s="6"/>
      <c r="AD7" s="21"/>
    </row>
    <row r="8" spans="3:30">
      <c r="C8" s="3" t="s">
        <v>3</v>
      </c>
      <c r="D8" s="4"/>
      <c r="E8" s="7"/>
      <c r="F8" s="6"/>
      <c r="G8" s="6"/>
      <c r="AA8" s="22"/>
      <c r="AD8" s="21"/>
    </row>
    <row r="9" spans="3:30">
      <c r="C9" s="3" t="s">
        <v>5</v>
      </c>
      <c r="D9" s="4"/>
      <c r="E9" s="5"/>
      <c r="F9" s="8"/>
      <c r="G9" s="8"/>
      <c r="AA9" s="21"/>
      <c r="AB9" s="23"/>
      <c r="AD9" s="21"/>
    </row>
    <row r="10" spans="3:30">
      <c r="C10" s="3" t="s">
        <v>9</v>
      </c>
      <c r="D10" s="4"/>
      <c r="E10" s="5"/>
      <c r="F10" s="6"/>
      <c r="G10" s="6"/>
      <c r="AA10" s="21"/>
      <c r="AB10" s="23"/>
      <c r="AD10" s="21"/>
    </row>
    <row r="11" spans="3:30">
      <c r="C11" s="3" t="s">
        <v>444</v>
      </c>
      <c r="D11" s="4"/>
      <c r="E11" s="5"/>
      <c r="F11" s="9" t="s">
        <v>449</v>
      </c>
      <c r="G11" s="5"/>
      <c r="L11" s="9"/>
      <c r="M11" s="9"/>
      <c r="AA11" s="21"/>
      <c r="AB11" s="23"/>
      <c r="AD11" s="21"/>
    </row>
    <row r="12" spans="3:30">
      <c r="C12" s="3"/>
      <c r="E12" s="5"/>
      <c r="F12" s="5"/>
      <c r="G12" s="5"/>
      <c r="L12" s="9"/>
      <c r="M12" s="9"/>
      <c r="AA12" s="21"/>
      <c r="AB12" s="23"/>
      <c r="AD12" s="21"/>
    </row>
    <row r="13" spans="3:30">
      <c r="C13" s="3"/>
      <c r="E13" s="5"/>
      <c r="F13" s="5"/>
      <c r="G13" s="5"/>
      <c r="H13" s="1" t="s">
        <v>450</v>
      </c>
      <c r="L13" s="9"/>
      <c r="M13" s="9"/>
      <c r="AA13" s="21"/>
      <c r="AB13" s="23"/>
      <c r="AD13" s="21"/>
    </row>
    <row r="14" spans="1:31">
      <c r="A14" s="10" t="s">
        <v>14</v>
      </c>
      <c r="B14" s="10" t="s">
        <v>15</v>
      </c>
      <c r="C14" s="10" t="s">
        <v>16</v>
      </c>
      <c r="D14" s="10" t="s">
        <v>17</v>
      </c>
      <c r="E14" s="10" t="s">
        <v>18</v>
      </c>
      <c r="F14" s="10" t="s">
        <v>19</v>
      </c>
      <c r="G14" s="10" t="s">
        <v>13</v>
      </c>
      <c r="H14" s="10" t="s">
        <v>451</v>
      </c>
      <c r="I14" s="10" t="s">
        <v>452</v>
      </c>
      <c r="J14" s="10" t="s">
        <v>453</v>
      </c>
      <c r="K14" s="10" t="s">
        <v>454</v>
      </c>
      <c r="L14" s="10" t="s">
        <v>455</v>
      </c>
      <c r="M14" s="10" t="s">
        <v>456</v>
      </c>
      <c r="N14" s="10" t="s">
        <v>457</v>
      </c>
      <c r="O14" s="10" t="s">
        <v>458</v>
      </c>
      <c r="P14" s="10" t="s">
        <v>459</v>
      </c>
      <c r="Q14" s="10" t="s">
        <v>460</v>
      </c>
      <c r="R14" s="10" t="s">
        <v>461</v>
      </c>
      <c r="S14" s="10" t="s">
        <v>462</v>
      </c>
      <c r="T14" s="10" t="s">
        <v>463</v>
      </c>
      <c r="U14" s="10" t="s">
        <v>464</v>
      </c>
      <c r="V14" s="10" t="s">
        <v>465</v>
      </c>
      <c r="W14" s="10" t="s">
        <v>466</v>
      </c>
      <c r="X14" s="10" t="s">
        <v>467</v>
      </c>
      <c r="Y14" s="10" t="s">
        <v>468</v>
      </c>
      <c r="Z14" s="10" t="s">
        <v>469</v>
      </c>
      <c r="AA14" s="24" t="s">
        <v>470</v>
      </c>
      <c r="AB14" s="10" t="s">
        <v>471</v>
      </c>
      <c r="AC14" s="10" t="s">
        <v>472</v>
      </c>
      <c r="AD14" s="13" t="s">
        <v>37</v>
      </c>
      <c r="AE14" s="25" t="s">
        <v>473</v>
      </c>
    </row>
    <row r="15" spans="1:31">
      <c r="A15" s="11">
        <v>1</v>
      </c>
      <c r="B15" s="11"/>
      <c r="C15" s="11"/>
      <c r="D15" s="11"/>
      <c r="E15" s="11"/>
      <c r="F15" s="11"/>
      <c r="G15" s="12"/>
      <c r="H15" s="11"/>
      <c r="I15" s="19">
        <f>IF(H15="K",0,IF(H15="P",5,H15))</f>
        <v>0</v>
      </c>
      <c r="J15" s="11"/>
      <c r="K15" s="19">
        <f>IF(J15="K",0,IF(J15="P",5,J15))</f>
        <v>0</v>
      </c>
      <c r="L15" s="11"/>
      <c r="M15" s="19">
        <f>IF(L15="K",0,IF(L15="P",5,L15))</f>
        <v>0</v>
      </c>
      <c r="N15" s="11"/>
      <c r="O15" s="19">
        <f>IF(N15="K",0,IF(N15="P",5,N15))</f>
        <v>0</v>
      </c>
      <c r="P15" s="11"/>
      <c r="Q15" s="19">
        <f>IF(P15="K",0,IF(P15="P",5,P15))</f>
        <v>0</v>
      </c>
      <c r="R15" s="11"/>
      <c r="S15" s="19">
        <f>IF(R15="K",0,IF(R15="P",5,R15))</f>
        <v>0</v>
      </c>
      <c r="T15" s="11"/>
      <c r="U15" s="19">
        <f>IF(T15="K",0,IF(T15="P",5,T15))</f>
        <v>0</v>
      </c>
      <c r="V15" s="11"/>
      <c r="W15" s="20">
        <f>IF(V15="K",0,IF(V15="P",5,V15))</f>
        <v>0</v>
      </c>
      <c r="X15" s="11"/>
      <c r="Y15" s="19">
        <f t="shared" ref="Y15:Y33" si="0">IF(X15="K",0,IF(X15="P",5,X15))</f>
        <v>0</v>
      </c>
      <c r="Z15" s="11"/>
      <c r="AA15" s="19">
        <f>IF(Z15="K",0,IF(Z15="P",5,Z15))</f>
        <v>0</v>
      </c>
      <c r="AB15" s="11"/>
      <c r="AC15" s="19">
        <f>IF(AB15="K",0,IF(AB15="P",5,AB15))</f>
        <v>0</v>
      </c>
      <c r="AD15" s="13"/>
      <c r="AE15" s="26"/>
    </row>
    <row r="16" spans="1:31">
      <c r="A16" s="11">
        <v>2</v>
      </c>
      <c r="B16" s="11"/>
      <c r="C16" s="11"/>
      <c r="D16" s="11"/>
      <c r="E16" s="11"/>
      <c r="F16" s="11"/>
      <c r="G16" s="12"/>
      <c r="H16" s="11"/>
      <c r="I16" s="19">
        <f t="shared" ref="I16:I52" si="1">IF(H16="K",0,IF(H16="P",5,H16))</f>
        <v>0</v>
      </c>
      <c r="J16" s="11"/>
      <c r="K16" s="19">
        <f t="shared" ref="K16:K52" si="2">IF(J16="K",0,IF(J16="P",5,J16))</f>
        <v>0</v>
      </c>
      <c r="L16" s="11"/>
      <c r="M16" s="19">
        <f t="shared" ref="M16:M52" si="3">IF(L16="K",0,IF(L16="P",5,L16))</f>
        <v>0</v>
      </c>
      <c r="N16" s="11"/>
      <c r="O16" s="19">
        <f t="shared" ref="O16:O52" si="4">IF(N16="K",0,IF(N16="P",5,N16))</f>
        <v>0</v>
      </c>
      <c r="P16" s="11"/>
      <c r="Q16" s="19">
        <f t="shared" ref="Q16:Q52" si="5">IF(P16="K",0,IF(P16="P",5,P16))</f>
        <v>0</v>
      </c>
      <c r="R16" s="11"/>
      <c r="S16" s="19">
        <f t="shared" ref="S16:S52" si="6">IF(R16="K",0,IF(R16="P",5,R16))</f>
        <v>0</v>
      </c>
      <c r="T16" s="11"/>
      <c r="U16" s="19">
        <f t="shared" ref="U16:U52" si="7">IF(T16="K",0,IF(T16="P",5,T16))</f>
        <v>0</v>
      </c>
      <c r="V16" s="11"/>
      <c r="W16" s="20">
        <f t="shared" ref="W16:W52" si="8">IF(V16="K",0,IF(V16="P",5,V16))</f>
        <v>0</v>
      </c>
      <c r="X16" s="11"/>
      <c r="Y16" s="19">
        <f t="shared" si="0"/>
        <v>0</v>
      </c>
      <c r="Z16" s="11"/>
      <c r="AA16" s="19">
        <f t="shared" ref="AA16:AA52" si="9">IF(Z16="K",0,IF(Z16="P",5,Z16))</f>
        <v>0</v>
      </c>
      <c r="AB16" s="11"/>
      <c r="AC16" s="19">
        <f t="shared" ref="AC16:AC52" si="10">IF(AB16="K",0,IF(AB16="P",5,AB16))</f>
        <v>0</v>
      </c>
      <c r="AD16" s="13"/>
      <c r="AE16" s="26"/>
    </row>
    <row r="17" spans="1:31">
      <c r="A17" s="11">
        <v>3</v>
      </c>
      <c r="B17" s="11"/>
      <c r="C17" s="11"/>
      <c r="D17" s="11"/>
      <c r="E17" s="11"/>
      <c r="F17" s="11"/>
      <c r="G17" s="12"/>
      <c r="H17" s="11"/>
      <c r="I17" s="19">
        <f t="shared" si="1"/>
        <v>0</v>
      </c>
      <c r="J17" s="11"/>
      <c r="K17" s="19">
        <f t="shared" si="2"/>
        <v>0</v>
      </c>
      <c r="L17" s="11"/>
      <c r="M17" s="19">
        <f t="shared" si="3"/>
        <v>0</v>
      </c>
      <c r="N17" s="11"/>
      <c r="O17" s="19">
        <f t="shared" si="4"/>
        <v>0</v>
      </c>
      <c r="P17" s="11"/>
      <c r="Q17" s="19">
        <f t="shared" si="5"/>
        <v>0</v>
      </c>
      <c r="R17" s="11"/>
      <c r="S17" s="19">
        <f t="shared" si="6"/>
        <v>0</v>
      </c>
      <c r="T17" s="11"/>
      <c r="U17" s="19">
        <f t="shared" si="7"/>
        <v>0</v>
      </c>
      <c r="V17" s="11"/>
      <c r="W17" s="20">
        <f t="shared" si="8"/>
        <v>0</v>
      </c>
      <c r="X17" s="11"/>
      <c r="Y17" s="19">
        <f t="shared" si="0"/>
        <v>0</v>
      </c>
      <c r="Z17" s="11"/>
      <c r="AA17" s="19">
        <f t="shared" si="9"/>
        <v>0</v>
      </c>
      <c r="AB17" s="11"/>
      <c r="AC17" s="19">
        <f t="shared" si="10"/>
        <v>0</v>
      </c>
      <c r="AD17" s="13"/>
      <c r="AE17" s="26"/>
    </row>
    <row r="18" spans="1:31">
      <c r="A18" s="11">
        <v>4</v>
      </c>
      <c r="B18" s="11"/>
      <c r="C18" s="11"/>
      <c r="D18" s="11"/>
      <c r="E18" s="11"/>
      <c r="F18" s="11"/>
      <c r="G18" s="12"/>
      <c r="H18" s="11"/>
      <c r="I18" s="19">
        <f t="shared" si="1"/>
        <v>0</v>
      </c>
      <c r="J18" s="11"/>
      <c r="K18" s="19">
        <f t="shared" si="2"/>
        <v>0</v>
      </c>
      <c r="L18" s="11"/>
      <c r="M18" s="19">
        <f t="shared" si="3"/>
        <v>0</v>
      </c>
      <c r="N18" s="11"/>
      <c r="O18" s="19">
        <f t="shared" si="4"/>
        <v>0</v>
      </c>
      <c r="P18" s="11"/>
      <c r="Q18" s="19">
        <f t="shared" si="5"/>
        <v>0</v>
      </c>
      <c r="R18" s="11"/>
      <c r="S18" s="19">
        <f t="shared" si="6"/>
        <v>0</v>
      </c>
      <c r="T18" s="11"/>
      <c r="U18" s="19">
        <f t="shared" si="7"/>
        <v>0</v>
      </c>
      <c r="V18" s="11"/>
      <c r="W18" s="20">
        <f t="shared" si="8"/>
        <v>0</v>
      </c>
      <c r="X18" s="11"/>
      <c r="Y18" s="19">
        <f t="shared" si="0"/>
        <v>0</v>
      </c>
      <c r="Z18" s="11"/>
      <c r="AA18" s="19">
        <f t="shared" si="9"/>
        <v>0</v>
      </c>
      <c r="AB18" s="11"/>
      <c r="AC18" s="19">
        <f t="shared" si="10"/>
        <v>0</v>
      </c>
      <c r="AD18" s="13"/>
      <c r="AE18" s="26"/>
    </row>
    <row r="19" spans="1:31">
      <c r="A19" s="11">
        <v>5</v>
      </c>
      <c r="B19" s="11"/>
      <c r="C19" s="11"/>
      <c r="D19" s="11"/>
      <c r="E19" s="11"/>
      <c r="F19" s="11"/>
      <c r="G19" s="13"/>
      <c r="H19" s="11"/>
      <c r="I19" s="19">
        <f t="shared" si="1"/>
        <v>0</v>
      </c>
      <c r="J19" s="11"/>
      <c r="K19" s="19">
        <f t="shared" si="2"/>
        <v>0</v>
      </c>
      <c r="L19" s="11"/>
      <c r="M19" s="19">
        <f t="shared" si="3"/>
        <v>0</v>
      </c>
      <c r="N19" s="11"/>
      <c r="O19" s="19">
        <f t="shared" si="4"/>
        <v>0</v>
      </c>
      <c r="P19" s="11"/>
      <c r="Q19" s="19">
        <f t="shared" si="5"/>
        <v>0</v>
      </c>
      <c r="R19" s="11"/>
      <c r="S19" s="19">
        <f t="shared" si="6"/>
        <v>0</v>
      </c>
      <c r="T19" s="11"/>
      <c r="U19" s="19">
        <f t="shared" si="7"/>
        <v>0</v>
      </c>
      <c r="V19" s="11"/>
      <c r="W19" s="20">
        <f t="shared" si="8"/>
        <v>0</v>
      </c>
      <c r="X19" s="11"/>
      <c r="Y19" s="19">
        <f t="shared" si="0"/>
        <v>0</v>
      </c>
      <c r="Z19" s="11"/>
      <c r="AA19" s="19">
        <f t="shared" si="9"/>
        <v>0</v>
      </c>
      <c r="AB19" s="11"/>
      <c r="AC19" s="19">
        <f t="shared" si="10"/>
        <v>0</v>
      </c>
      <c r="AD19" s="13"/>
      <c r="AE19" s="26"/>
    </row>
    <row r="20" spans="1:31">
      <c r="A20" s="11">
        <v>6</v>
      </c>
      <c r="B20" s="11"/>
      <c r="C20" s="11"/>
      <c r="D20" s="11"/>
      <c r="E20" s="11"/>
      <c r="F20" s="11"/>
      <c r="G20" s="13"/>
      <c r="H20" s="11"/>
      <c r="I20" s="19">
        <f t="shared" si="1"/>
        <v>0</v>
      </c>
      <c r="J20" s="11"/>
      <c r="K20" s="19">
        <f t="shared" si="2"/>
        <v>0</v>
      </c>
      <c r="L20" s="11"/>
      <c r="M20" s="19">
        <f t="shared" si="3"/>
        <v>0</v>
      </c>
      <c r="N20" s="11"/>
      <c r="O20" s="19">
        <f t="shared" si="4"/>
        <v>0</v>
      </c>
      <c r="P20" s="11"/>
      <c r="Q20" s="19">
        <f t="shared" si="5"/>
        <v>0</v>
      </c>
      <c r="R20" s="11"/>
      <c r="S20" s="19">
        <f t="shared" si="6"/>
        <v>0</v>
      </c>
      <c r="T20" s="11"/>
      <c r="U20" s="19">
        <f t="shared" si="7"/>
        <v>0</v>
      </c>
      <c r="V20" s="11"/>
      <c r="W20" s="20">
        <f t="shared" si="8"/>
        <v>0</v>
      </c>
      <c r="X20" s="11"/>
      <c r="Y20" s="19">
        <f t="shared" si="0"/>
        <v>0</v>
      </c>
      <c r="Z20" s="11"/>
      <c r="AA20" s="19">
        <f t="shared" si="9"/>
        <v>0</v>
      </c>
      <c r="AB20" s="11"/>
      <c r="AC20" s="19">
        <f t="shared" si="10"/>
        <v>0</v>
      </c>
      <c r="AD20" s="13"/>
      <c r="AE20" s="26"/>
    </row>
    <row r="21" spans="1:31">
      <c r="A21" s="11">
        <v>7</v>
      </c>
      <c r="B21" s="11"/>
      <c r="C21" s="11"/>
      <c r="D21" s="11"/>
      <c r="E21" s="11"/>
      <c r="F21" s="11"/>
      <c r="G21" s="13"/>
      <c r="H21" s="11"/>
      <c r="I21" s="19">
        <f t="shared" si="1"/>
        <v>0</v>
      </c>
      <c r="J21" s="11"/>
      <c r="K21" s="19">
        <f t="shared" si="2"/>
        <v>0</v>
      </c>
      <c r="L21" s="11"/>
      <c r="M21" s="19">
        <f t="shared" si="3"/>
        <v>0</v>
      </c>
      <c r="N21" s="11"/>
      <c r="O21" s="19">
        <f t="shared" si="4"/>
        <v>0</v>
      </c>
      <c r="P21" s="11"/>
      <c r="Q21" s="19">
        <f t="shared" si="5"/>
        <v>0</v>
      </c>
      <c r="R21" s="11"/>
      <c r="S21" s="19">
        <f t="shared" si="6"/>
        <v>0</v>
      </c>
      <c r="T21" s="11"/>
      <c r="U21" s="19">
        <f t="shared" si="7"/>
        <v>0</v>
      </c>
      <c r="V21" s="11"/>
      <c r="W21" s="20">
        <f t="shared" si="8"/>
        <v>0</v>
      </c>
      <c r="X21" s="11"/>
      <c r="Y21" s="19">
        <f t="shared" si="0"/>
        <v>0</v>
      </c>
      <c r="Z21" s="11"/>
      <c r="AA21" s="19">
        <f t="shared" si="9"/>
        <v>0</v>
      </c>
      <c r="AB21" s="11"/>
      <c r="AC21" s="19">
        <f t="shared" si="10"/>
        <v>0</v>
      </c>
      <c r="AD21" s="13"/>
      <c r="AE21" s="26"/>
    </row>
    <row r="22" spans="1:31">
      <c r="A22" s="11">
        <v>8</v>
      </c>
      <c r="B22" s="11"/>
      <c r="C22" s="11"/>
      <c r="D22" s="11"/>
      <c r="E22" s="11"/>
      <c r="F22" s="11"/>
      <c r="G22" s="13"/>
      <c r="H22" s="11"/>
      <c r="I22" s="19">
        <f t="shared" si="1"/>
        <v>0</v>
      </c>
      <c r="J22" s="11"/>
      <c r="K22" s="19">
        <f t="shared" si="2"/>
        <v>0</v>
      </c>
      <c r="L22" s="11"/>
      <c r="M22" s="19">
        <f t="shared" si="3"/>
        <v>0</v>
      </c>
      <c r="N22" s="11"/>
      <c r="O22" s="19">
        <f t="shared" si="4"/>
        <v>0</v>
      </c>
      <c r="P22" s="11"/>
      <c r="Q22" s="19">
        <f t="shared" si="5"/>
        <v>0</v>
      </c>
      <c r="R22" s="11"/>
      <c r="S22" s="19">
        <f t="shared" si="6"/>
        <v>0</v>
      </c>
      <c r="T22" s="11"/>
      <c r="U22" s="19">
        <f t="shared" si="7"/>
        <v>0</v>
      </c>
      <c r="V22" s="11"/>
      <c r="W22" s="20">
        <f t="shared" si="8"/>
        <v>0</v>
      </c>
      <c r="X22" s="11"/>
      <c r="Y22" s="19">
        <f t="shared" si="0"/>
        <v>0</v>
      </c>
      <c r="Z22" s="11"/>
      <c r="AA22" s="19">
        <f t="shared" si="9"/>
        <v>0</v>
      </c>
      <c r="AB22" s="11"/>
      <c r="AC22" s="19">
        <f t="shared" si="10"/>
        <v>0</v>
      </c>
      <c r="AD22" s="13"/>
      <c r="AE22" s="26"/>
    </row>
    <row r="23" spans="1:31">
      <c r="A23" s="11">
        <v>9</v>
      </c>
      <c r="B23" s="11"/>
      <c r="C23" s="11"/>
      <c r="D23" s="11"/>
      <c r="E23" s="11"/>
      <c r="F23" s="11"/>
      <c r="G23" s="12"/>
      <c r="H23" s="11"/>
      <c r="I23" s="19">
        <f t="shared" si="1"/>
        <v>0</v>
      </c>
      <c r="J23" s="11"/>
      <c r="K23" s="19">
        <f t="shared" si="2"/>
        <v>0</v>
      </c>
      <c r="L23" s="11"/>
      <c r="M23" s="19">
        <f t="shared" si="3"/>
        <v>0</v>
      </c>
      <c r="N23" s="11"/>
      <c r="O23" s="19">
        <f t="shared" si="4"/>
        <v>0</v>
      </c>
      <c r="P23" s="11"/>
      <c r="Q23" s="19">
        <f t="shared" si="5"/>
        <v>0</v>
      </c>
      <c r="R23" s="11"/>
      <c r="S23" s="19">
        <f t="shared" si="6"/>
        <v>0</v>
      </c>
      <c r="T23" s="11"/>
      <c r="U23" s="19">
        <f t="shared" si="7"/>
        <v>0</v>
      </c>
      <c r="V23" s="11"/>
      <c r="W23" s="20">
        <f t="shared" si="8"/>
        <v>0</v>
      </c>
      <c r="X23" s="11"/>
      <c r="Y23" s="19">
        <f t="shared" si="0"/>
        <v>0</v>
      </c>
      <c r="Z23" s="11"/>
      <c r="AA23" s="19">
        <f t="shared" si="9"/>
        <v>0</v>
      </c>
      <c r="AB23" s="11"/>
      <c r="AC23" s="19">
        <f t="shared" si="10"/>
        <v>0</v>
      </c>
      <c r="AD23" s="13"/>
      <c r="AE23" s="26"/>
    </row>
    <row r="24" spans="1:31">
      <c r="A24" s="11">
        <v>10</v>
      </c>
      <c r="B24" s="11"/>
      <c r="C24" s="11"/>
      <c r="D24" s="11"/>
      <c r="E24" s="11"/>
      <c r="F24" s="11"/>
      <c r="G24" s="12"/>
      <c r="H24" s="11"/>
      <c r="I24" s="19">
        <f t="shared" si="1"/>
        <v>0</v>
      </c>
      <c r="J24" s="11"/>
      <c r="K24" s="19">
        <f t="shared" si="2"/>
        <v>0</v>
      </c>
      <c r="L24" s="11"/>
      <c r="M24" s="19">
        <f t="shared" si="3"/>
        <v>0</v>
      </c>
      <c r="N24" s="11"/>
      <c r="O24" s="19">
        <f t="shared" si="4"/>
        <v>0</v>
      </c>
      <c r="P24" s="11"/>
      <c r="Q24" s="19">
        <f t="shared" si="5"/>
        <v>0</v>
      </c>
      <c r="R24" s="11"/>
      <c r="S24" s="19">
        <f t="shared" si="6"/>
        <v>0</v>
      </c>
      <c r="T24" s="11"/>
      <c r="U24" s="19">
        <f t="shared" si="7"/>
        <v>0</v>
      </c>
      <c r="V24" s="11"/>
      <c r="W24" s="20">
        <f t="shared" si="8"/>
        <v>0</v>
      </c>
      <c r="X24" s="11"/>
      <c r="Y24" s="19">
        <f t="shared" si="0"/>
        <v>0</v>
      </c>
      <c r="Z24" s="11"/>
      <c r="AA24" s="19">
        <f t="shared" si="9"/>
        <v>0</v>
      </c>
      <c r="AB24" s="11"/>
      <c r="AC24" s="19">
        <f t="shared" si="10"/>
        <v>0</v>
      </c>
      <c r="AD24" s="13"/>
      <c r="AE24" s="26"/>
    </row>
    <row r="25" spans="1:31">
      <c r="A25" s="11">
        <v>11</v>
      </c>
      <c r="B25" s="11"/>
      <c r="C25" s="11"/>
      <c r="D25" s="11"/>
      <c r="E25" s="11"/>
      <c r="F25" s="11"/>
      <c r="G25" s="12"/>
      <c r="H25" s="11"/>
      <c r="I25" s="19">
        <f t="shared" si="1"/>
        <v>0</v>
      </c>
      <c r="J25" s="11"/>
      <c r="K25" s="19">
        <f t="shared" si="2"/>
        <v>0</v>
      </c>
      <c r="L25" s="11"/>
      <c r="M25" s="19">
        <f t="shared" si="3"/>
        <v>0</v>
      </c>
      <c r="N25" s="11"/>
      <c r="O25" s="19">
        <f t="shared" si="4"/>
        <v>0</v>
      </c>
      <c r="P25" s="11"/>
      <c r="Q25" s="19">
        <f t="shared" si="5"/>
        <v>0</v>
      </c>
      <c r="R25" s="11"/>
      <c r="S25" s="19">
        <f t="shared" si="6"/>
        <v>0</v>
      </c>
      <c r="T25" s="11"/>
      <c r="U25" s="19">
        <f t="shared" si="7"/>
        <v>0</v>
      </c>
      <c r="V25" s="11"/>
      <c r="W25" s="20">
        <f t="shared" si="8"/>
        <v>0</v>
      </c>
      <c r="X25" s="11"/>
      <c r="Y25" s="19">
        <f t="shared" si="0"/>
        <v>0</v>
      </c>
      <c r="Z25" s="11"/>
      <c r="AA25" s="19">
        <f t="shared" si="9"/>
        <v>0</v>
      </c>
      <c r="AB25" s="11"/>
      <c r="AC25" s="19">
        <f t="shared" si="10"/>
        <v>0</v>
      </c>
      <c r="AD25" s="13"/>
      <c r="AE25" s="26"/>
    </row>
    <row r="26" spans="1:31">
      <c r="A26" s="11">
        <v>12</v>
      </c>
      <c r="B26" s="11"/>
      <c r="C26" s="11"/>
      <c r="D26" s="11"/>
      <c r="E26" s="11"/>
      <c r="F26" s="11"/>
      <c r="G26" s="12"/>
      <c r="H26" s="11"/>
      <c r="I26" s="19">
        <f t="shared" si="1"/>
        <v>0</v>
      </c>
      <c r="J26" s="11"/>
      <c r="K26" s="19">
        <f t="shared" si="2"/>
        <v>0</v>
      </c>
      <c r="L26" s="11"/>
      <c r="M26" s="19">
        <f t="shared" si="3"/>
        <v>0</v>
      </c>
      <c r="N26" s="11"/>
      <c r="O26" s="19">
        <f t="shared" si="4"/>
        <v>0</v>
      </c>
      <c r="P26" s="11"/>
      <c r="Q26" s="19">
        <f t="shared" si="5"/>
        <v>0</v>
      </c>
      <c r="R26" s="11"/>
      <c r="S26" s="19">
        <f t="shared" si="6"/>
        <v>0</v>
      </c>
      <c r="T26" s="11"/>
      <c r="U26" s="19">
        <f t="shared" si="7"/>
        <v>0</v>
      </c>
      <c r="V26" s="11"/>
      <c r="W26" s="20">
        <f t="shared" si="8"/>
        <v>0</v>
      </c>
      <c r="X26" s="11"/>
      <c r="Y26" s="19">
        <f t="shared" si="0"/>
        <v>0</v>
      </c>
      <c r="Z26" s="11"/>
      <c r="AA26" s="19">
        <f t="shared" si="9"/>
        <v>0</v>
      </c>
      <c r="AB26" s="11"/>
      <c r="AC26" s="19">
        <f t="shared" si="10"/>
        <v>0</v>
      </c>
      <c r="AD26" s="13"/>
      <c r="AE26" s="26"/>
    </row>
    <row r="27" spans="1:31">
      <c r="A27" s="11">
        <v>13</v>
      </c>
      <c r="B27" s="11"/>
      <c r="C27" s="11"/>
      <c r="D27" s="11"/>
      <c r="E27" s="11"/>
      <c r="F27" s="11"/>
      <c r="G27" s="12"/>
      <c r="H27" s="11"/>
      <c r="I27" s="19">
        <f t="shared" si="1"/>
        <v>0</v>
      </c>
      <c r="J27" s="11"/>
      <c r="K27" s="19">
        <f t="shared" si="2"/>
        <v>0</v>
      </c>
      <c r="L27" s="11"/>
      <c r="M27" s="19">
        <f t="shared" si="3"/>
        <v>0</v>
      </c>
      <c r="N27" s="11"/>
      <c r="O27" s="19">
        <f t="shared" si="4"/>
        <v>0</v>
      </c>
      <c r="P27" s="11"/>
      <c r="Q27" s="19">
        <f t="shared" si="5"/>
        <v>0</v>
      </c>
      <c r="R27" s="11"/>
      <c r="S27" s="19">
        <f t="shared" si="6"/>
        <v>0</v>
      </c>
      <c r="T27" s="11"/>
      <c r="U27" s="19">
        <f t="shared" si="7"/>
        <v>0</v>
      </c>
      <c r="V27" s="11"/>
      <c r="W27" s="20">
        <f t="shared" si="8"/>
        <v>0</v>
      </c>
      <c r="X27" s="11"/>
      <c r="Y27" s="19">
        <f t="shared" si="0"/>
        <v>0</v>
      </c>
      <c r="Z27" s="11"/>
      <c r="AA27" s="19">
        <f t="shared" si="9"/>
        <v>0</v>
      </c>
      <c r="AB27" s="11"/>
      <c r="AC27" s="19">
        <f t="shared" si="10"/>
        <v>0</v>
      </c>
      <c r="AD27" s="13"/>
      <c r="AE27" s="26"/>
    </row>
    <row r="28" spans="1:31">
      <c r="A28" s="11">
        <v>14</v>
      </c>
      <c r="B28" s="11"/>
      <c r="C28" s="11"/>
      <c r="D28" s="11"/>
      <c r="E28" s="11"/>
      <c r="F28" s="11"/>
      <c r="G28" s="12"/>
      <c r="H28" s="11"/>
      <c r="I28" s="19">
        <f t="shared" si="1"/>
        <v>0</v>
      </c>
      <c r="J28" s="11"/>
      <c r="K28" s="19">
        <f t="shared" si="2"/>
        <v>0</v>
      </c>
      <c r="L28" s="11"/>
      <c r="M28" s="19">
        <f t="shared" si="3"/>
        <v>0</v>
      </c>
      <c r="N28" s="11"/>
      <c r="O28" s="19">
        <f t="shared" si="4"/>
        <v>0</v>
      </c>
      <c r="P28" s="11"/>
      <c r="Q28" s="19">
        <f t="shared" si="5"/>
        <v>0</v>
      </c>
      <c r="R28" s="11"/>
      <c r="S28" s="19">
        <f t="shared" si="6"/>
        <v>0</v>
      </c>
      <c r="T28" s="11"/>
      <c r="U28" s="19">
        <f t="shared" si="7"/>
        <v>0</v>
      </c>
      <c r="V28" s="11"/>
      <c r="W28" s="20">
        <f t="shared" si="8"/>
        <v>0</v>
      </c>
      <c r="X28" s="11"/>
      <c r="Y28" s="19">
        <f t="shared" si="0"/>
        <v>0</v>
      </c>
      <c r="Z28" s="11"/>
      <c r="AA28" s="19">
        <f t="shared" si="9"/>
        <v>0</v>
      </c>
      <c r="AB28" s="11"/>
      <c r="AC28" s="19">
        <f t="shared" si="10"/>
        <v>0</v>
      </c>
      <c r="AD28" s="13"/>
      <c r="AE28" s="26"/>
    </row>
    <row r="29" spans="1:31">
      <c r="A29" s="11">
        <v>15</v>
      </c>
      <c r="B29" s="11"/>
      <c r="C29" s="11"/>
      <c r="D29" s="11"/>
      <c r="E29" s="11"/>
      <c r="F29" s="11"/>
      <c r="G29" s="12"/>
      <c r="H29" s="11"/>
      <c r="I29" s="19">
        <f t="shared" si="1"/>
        <v>0</v>
      </c>
      <c r="J29" s="11"/>
      <c r="K29" s="19">
        <f t="shared" si="2"/>
        <v>0</v>
      </c>
      <c r="L29" s="11"/>
      <c r="M29" s="19">
        <f t="shared" si="3"/>
        <v>0</v>
      </c>
      <c r="N29" s="11"/>
      <c r="O29" s="19">
        <f t="shared" si="4"/>
        <v>0</v>
      </c>
      <c r="P29" s="11"/>
      <c r="Q29" s="19">
        <f t="shared" si="5"/>
        <v>0</v>
      </c>
      <c r="R29" s="11"/>
      <c r="S29" s="19">
        <f t="shared" si="6"/>
        <v>0</v>
      </c>
      <c r="T29" s="11"/>
      <c r="U29" s="19">
        <f t="shared" si="7"/>
        <v>0</v>
      </c>
      <c r="V29" s="11"/>
      <c r="W29" s="20">
        <f t="shared" si="8"/>
        <v>0</v>
      </c>
      <c r="X29" s="11"/>
      <c r="Y29" s="19">
        <f t="shared" si="0"/>
        <v>0</v>
      </c>
      <c r="Z29" s="11"/>
      <c r="AA29" s="19">
        <f t="shared" si="9"/>
        <v>0</v>
      </c>
      <c r="AB29" s="11"/>
      <c r="AC29" s="19">
        <f t="shared" si="10"/>
        <v>0</v>
      </c>
      <c r="AD29" s="13"/>
      <c r="AE29" s="26"/>
    </row>
    <row r="30" spans="1:31">
      <c r="A30" s="11">
        <v>16</v>
      </c>
      <c r="B30" s="11"/>
      <c r="C30" s="11"/>
      <c r="D30" s="11"/>
      <c r="E30" s="11"/>
      <c r="F30" s="11"/>
      <c r="G30" s="12"/>
      <c r="H30" s="11"/>
      <c r="I30" s="19">
        <f t="shared" si="1"/>
        <v>0</v>
      </c>
      <c r="J30" s="11"/>
      <c r="K30" s="19">
        <f t="shared" si="2"/>
        <v>0</v>
      </c>
      <c r="L30" s="11"/>
      <c r="M30" s="19">
        <f t="shared" si="3"/>
        <v>0</v>
      </c>
      <c r="N30" s="11"/>
      <c r="O30" s="19">
        <f t="shared" si="4"/>
        <v>0</v>
      </c>
      <c r="P30" s="11"/>
      <c r="Q30" s="19">
        <f t="shared" si="5"/>
        <v>0</v>
      </c>
      <c r="R30" s="11"/>
      <c r="S30" s="19">
        <f t="shared" si="6"/>
        <v>0</v>
      </c>
      <c r="T30" s="11"/>
      <c r="U30" s="19">
        <f t="shared" si="7"/>
        <v>0</v>
      </c>
      <c r="V30" s="11"/>
      <c r="W30" s="20">
        <f t="shared" si="8"/>
        <v>0</v>
      </c>
      <c r="X30" s="11"/>
      <c r="Y30" s="19">
        <f t="shared" si="0"/>
        <v>0</v>
      </c>
      <c r="Z30" s="11"/>
      <c r="AA30" s="19">
        <f t="shared" si="9"/>
        <v>0</v>
      </c>
      <c r="AB30" s="11"/>
      <c r="AC30" s="19">
        <f t="shared" si="10"/>
        <v>0</v>
      </c>
      <c r="AD30" s="13"/>
      <c r="AE30" s="26"/>
    </row>
    <row r="31" spans="1:31">
      <c r="A31" s="11">
        <v>17</v>
      </c>
      <c r="B31" s="11"/>
      <c r="C31" s="11"/>
      <c r="D31" s="11"/>
      <c r="E31" s="11"/>
      <c r="F31" s="11"/>
      <c r="G31" s="12"/>
      <c r="H31" s="11"/>
      <c r="I31" s="19">
        <f t="shared" si="1"/>
        <v>0</v>
      </c>
      <c r="J31" s="11"/>
      <c r="K31" s="19">
        <f t="shared" si="2"/>
        <v>0</v>
      </c>
      <c r="L31" s="11"/>
      <c r="M31" s="19">
        <f t="shared" si="3"/>
        <v>0</v>
      </c>
      <c r="N31" s="11"/>
      <c r="O31" s="19">
        <f t="shared" si="4"/>
        <v>0</v>
      </c>
      <c r="P31" s="11"/>
      <c r="Q31" s="19">
        <f t="shared" si="5"/>
        <v>0</v>
      </c>
      <c r="R31" s="11"/>
      <c r="S31" s="19">
        <f t="shared" si="6"/>
        <v>0</v>
      </c>
      <c r="T31" s="11"/>
      <c r="U31" s="19">
        <f t="shared" si="7"/>
        <v>0</v>
      </c>
      <c r="V31" s="11"/>
      <c r="W31" s="20">
        <f t="shared" si="8"/>
        <v>0</v>
      </c>
      <c r="X31" s="11"/>
      <c r="Y31" s="19">
        <f t="shared" si="0"/>
        <v>0</v>
      </c>
      <c r="Z31" s="11"/>
      <c r="AA31" s="19">
        <f t="shared" si="9"/>
        <v>0</v>
      </c>
      <c r="AB31" s="11"/>
      <c r="AC31" s="19">
        <f t="shared" si="10"/>
        <v>0</v>
      </c>
      <c r="AD31" s="13"/>
      <c r="AE31" s="26"/>
    </row>
    <row r="32" spans="1:31">
      <c r="A32" s="11">
        <v>18</v>
      </c>
      <c r="B32" s="11"/>
      <c r="C32" s="11"/>
      <c r="D32" s="11"/>
      <c r="E32" s="11"/>
      <c r="F32" s="11"/>
      <c r="G32" s="12"/>
      <c r="H32" s="11"/>
      <c r="I32" s="19">
        <f t="shared" si="1"/>
        <v>0</v>
      </c>
      <c r="J32" s="11"/>
      <c r="K32" s="19">
        <f t="shared" si="2"/>
        <v>0</v>
      </c>
      <c r="L32" s="11"/>
      <c r="M32" s="19">
        <f t="shared" si="3"/>
        <v>0</v>
      </c>
      <c r="N32" s="11"/>
      <c r="O32" s="19">
        <f t="shared" si="4"/>
        <v>0</v>
      </c>
      <c r="P32" s="11"/>
      <c r="Q32" s="19">
        <f t="shared" si="5"/>
        <v>0</v>
      </c>
      <c r="R32" s="11"/>
      <c r="S32" s="19">
        <f t="shared" si="6"/>
        <v>0</v>
      </c>
      <c r="T32" s="11"/>
      <c r="U32" s="19">
        <f t="shared" si="7"/>
        <v>0</v>
      </c>
      <c r="V32" s="11"/>
      <c r="W32" s="20">
        <f t="shared" si="8"/>
        <v>0</v>
      </c>
      <c r="X32" s="11"/>
      <c r="Y32" s="19">
        <f t="shared" si="0"/>
        <v>0</v>
      </c>
      <c r="Z32" s="11"/>
      <c r="AA32" s="19">
        <f t="shared" si="9"/>
        <v>0</v>
      </c>
      <c r="AB32" s="11"/>
      <c r="AC32" s="19">
        <f t="shared" si="10"/>
        <v>0</v>
      </c>
      <c r="AD32" s="13"/>
      <c r="AE32" s="26"/>
    </row>
    <row r="33" spans="1:31">
      <c r="A33" s="11">
        <v>19</v>
      </c>
      <c r="B33" s="11"/>
      <c r="C33" s="11"/>
      <c r="D33" s="11"/>
      <c r="E33" s="11"/>
      <c r="F33" s="11"/>
      <c r="G33" s="12"/>
      <c r="H33" s="11"/>
      <c r="I33" s="19">
        <f t="shared" si="1"/>
        <v>0</v>
      </c>
      <c r="J33" s="11"/>
      <c r="K33" s="19">
        <f t="shared" si="2"/>
        <v>0</v>
      </c>
      <c r="L33" s="11"/>
      <c r="M33" s="19">
        <f t="shared" si="3"/>
        <v>0</v>
      </c>
      <c r="N33" s="11"/>
      <c r="O33" s="19">
        <f t="shared" si="4"/>
        <v>0</v>
      </c>
      <c r="P33" s="11"/>
      <c r="Q33" s="19">
        <f t="shared" si="5"/>
        <v>0</v>
      </c>
      <c r="R33" s="11"/>
      <c r="S33" s="19">
        <f t="shared" si="6"/>
        <v>0</v>
      </c>
      <c r="T33" s="11"/>
      <c r="U33" s="19">
        <f t="shared" si="7"/>
        <v>0</v>
      </c>
      <c r="V33" s="11"/>
      <c r="W33" s="20">
        <f t="shared" si="8"/>
        <v>0</v>
      </c>
      <c r="X33" s="11"/>
      <c r="Y33" s="19">
        <f t="shared" si="0"/>
        <v>0</v>
      </c>
      <c r="Z33" s="11"/>
      <c r="AA33" s="19">
        <f t="shared" si="9"/>
        <v>0</v>
      </c>
      <c r="AB33" s="11"/>
      <c r="AC33" s="19">
        <f t="shared" si="10"/>
        <v>0</v>
      </c>
      <c r="AD33" s="13"/>
      <c r="AE33" s="26"/>
    </row>
    <row r="34" spans="1:31">
      <c r="A34" s="11">
        <v>20</v>
      </c>
      <c r="B34" s="11"/>
      <c r="C34" s="11"/>
      <c r="D34" s="11"/>
      <c r="E34" s="11"/>
      <c r="F34" s="11"/>
      <c r="G34" s="12"/>
      <c r="H34" s="11"/>
      <c r="I34" s="19">
        <f t="shared" si="1"/>
        <v>0</v>
      </c>
      <c r="J34" s="11"/>
      <c r="K34" s="19">
        <f t="shared" si="2"/>
        <v>0</v>
      </c>
      <c r="L34" s="11"/>
      <c r="M34" s="19">
        <f t="shared" si="3"/>
        <v>0</v>
      </c>
      <c r="N34" s="11"/>
      <c r="O34" s="19">
        <f t="shared" si="4"/>
        <v>0</v>
      </c>
      <c r="P34" s="11"/>
      <c r="Q34" s="19">
        <f t="shared" si="5"/>
        <v>0</v>
      </c>
      <c r="R34" s="11"/>
      <c r="S34" s="19">
        <f t="shared" si="6"/>
        <v>0</v>
      </c>
      <c r="T34" s="11"/>
      <c r="U34" s="19">
        <f t="shared" si="7"/>
        <v>0</v>
      </c>
      <c r="V34" s="11"/>
      <c r="W34" s="20">
        <f t="shared" si="8"/>
        <v>0</v>
      </c>
      <c r="X34" s="11"/>
      <c r="Y34" s="19">
        <f t="shared" ref="Y34:Y52" si="11">IF(X34="K",0,IF(X34="P",5,X34))</f>
        <v>0</v>
      </c>
      <c r="Z34" s="11"/>
      <c r="AA34" s="19">
        <f t="shared" si="9"/>
        <v>0</v>
      </c>
      <c r="AB34" s="11"/>
      <c r="AC34" s="19">
        <f t="shared" si="10"/>
        <v>0</v>
      </c>
      <c r="AD34" s="13"/>
      <c r="AE34" s="26"/>
    </row>
    <row r="35" spans="1:31">
      <c r="A35" s="11">
        <v>21</v>
      </c>
      <c r="B35" s="11"/>
      <c r="C35" s="11"/>
      <c r="D35" s="11"/>
      <c r="E35" s="11"/>
      <c r="F35" s="11"/>
      <c r="G35" s="12"/>
      <c r="H35" s="11"/>
      <c r="I35" s="19">
        <f t="shared" si="1"/>
        <v>0</v>
      </c>
      <c r="J35" s="11"/>
      <c r="K35" s="19">
        <f t="shared" si="2"/>
        <v>0</v>
      </c>
      <c r="L35" s="11"/>
      <c r="M35" s="19">
        <f t="shared" si="3"/>
        <v>0</v>
      </c>
      <c r="N35" s="11"/>
      <c r="O35" s="19">
        <f t="shared" si="4"/>
        <v>0</v>
      </c>
      <c r="P35" s="11"/>
      <c r="Q35" s="19">
        <f t="shared" si="5"/>
        <v>0</v>
      </c>
      <c r="R35" s="11"/>
      <c r="S35" s="19">
        <f t="shared" si="6"/>
        <v>0</v>
      </c>
      <c r="T35" s="11"/>
      <c r="U35" s="19">
        <f t="shared" si="7"/>
        <v>0</v>
      </c>
      <c r="V35" s="11"/>
      <c r="W35" s="20">
        <f t="shared" si="8"/>
        <v>0</v>
      </c>
      <c r="X35" s="11"/>
      <c r="Y35" s="19">
        <f t="shared" si="11"/>
        <v>0</v>
      </c>
      <c r="Z35" s="11"/>
      <c r="AA35" s="19">
        <f t="shared" si="9"/>
        <v>0</v>
      </c>
      <c r="AB35" s="11"/>
      <c r="AC35" s="19">
        <f t="shared" si="10"/>
        <v>0</v>
      </c>
      <c r="AD35" s="13"/>
      <c r="AE35" s="26"/>
    </row>
    <row r="36" spans="1:31">
      <c r="A36" s="11">
        <v>22</v>
      </c>
      <c r="B36" s="11"/>
      <c r="C36" s="11"/>
      <c r="D36" s="11"/>
      <c r="E36" s="11"/>
      <c r="F36" s="11"/>
      <c r="G36" s="12"/>
      <c r="H36" s="11"/>
      <c r="I36" s="19">
        <f t="shared" si="1"/>
        <v>0</v>
      </c>
      <c r="J36" s="11"/>
      <c r="K36" s="19">
        <f t="shared" si="2"/>
        <v>0</v>
      </c>
      <c r="L36" s="11"/>
      <c r="M36" s="19">
        <f t="shared" si="3"/>
        <v>0</v>
      </c>
      <c r="N36" s="11"/>
      <c r="O36" s="19">
        <f t="shared" si="4"/>
        <v>0</v>
      </c>
      <c r="P36" s="11"/>
      <c r="Q36" s="19">
        <f t="shared" si="5"/>
        <v>0</v>
      </c>
      <c r="R36" s="11"/>
      <c r="S36" s="19">
        <f t="shared" si="6"/>
        <v>0</v>
      </c>
      <c r="T36" s="11"/>
      <c r="U36" s="19">
        <f t="shared" si="7"/>
        <v>0</v>
      </c>
      <c r="V36" s="11"/>
      <c r="W36" s="20">
        <f t="shared" si="8"/>
        <v>0</v>
      </c>
      <c r="X36" s="11"/>
      <c r="Y36" s="19">
        <f t="shared" si="11"/>
        <v>0</v>
      </c>
      <c r="Z36" s="11"/>
      <c r="AA36" s="19">
        <f t="shared" si="9"/>
        <v>0</v>
      </c>
      <c r="AB36" s="11"/>
      <c r="AC36" s="19">
        <f t="shared" si="10"/>
        <v>0</v>
      </c>
      <c r="AD36" s="13"/>
      <c r="AE36" s="26"/>
    </row>
    <row r="37" spans="1:31">
      <c r="A37" s="11">
        <v>23</v>
      </c>
      <c r="B37" s="11"/>
      <c r="C37" s="11"/>
      <c r="D37" s="11"/>
      <c r="E37" s="11"/>
      <c r="F37" s="11"/>
      <c r="G37" s="12"/>
      <c r="H37" s="11"/>
      <c r="I37" s="19">
        <f t="shared" si="1"/>
        <v>0</v>
      </c>
      <c r="J37" s="11"/>
      <c r="K37" s="19">
        <f t="shared" si="2"/>
        <v>0</v>
      </c>
      <c r="L37" s="11"/>
      <c r="M37" s="19">
        <f t="shared" si="3"/>
        <v>0</v>
      </c>
      <c r="N37" s="11"/>
      <c r="O37" s="19">
        <f t="shared" si="4"/>
        <v>0</v>
      </c>
      <c r="P37" s="11"/>
      <c r="Q37" s="19">
        <f t="shared" si="5"/>
        <v>0</v>
      </c>
      <c r="R37" s="11"/>
      <c r="S37" s="19">
        <f t="shared" si="6"/>
        <v>0</v>
      </c>
      <c r="T37" s="11"/>
      <c r="U37" s="19">
        <f t="shared" si="7"/>
        <v>0</v>
      </c>
      <c r="V37" s="11"/>
      <c r="W37" s="20">
        <f t="shared" si="8"/>
        <v>0</v>
      </c>
      <c r="X37" s="11"/>
      <c r="Y37" s="19">
        <f t="shared" si="11"/>
        <v>0</v>
      </c>
      <c r="Z37" s="11"/>
      <c r="AA37" s="19">
        <f t="shared" si="9"/>
        <v>0</v>
      </c>
      <c r="AB37" s="11"/>
      <c r="AC37" s="19">
        <f t="shared" si="10"/>
        <v>0</v>
      </c>
      <c r="AD37" s="13"/>
      <c r="AE37" s="26"/>
    </row>
    <row r="38" spans="1:31">
      <c r="A38" s="11">
        <v>24</v>
      </c>
      <c r="B38" s="11"/>
      <c r="C38" s="11"/>
      <c r="D38" s="11"/>
      <c r="E38" s="11"/>
      <c r="F38" s="11"/>
      <c r="G38" s="12"/>
      <c r="H38" s="11"/>
      <c r="I38" s="19">
        <f t="shared" si="1"/>
        <v>0</v>
      </c>
      <c r="J38" s="11"/>
      <c r="K38" s="19">
        <f t="shared" si="2"/>
        <v>0</v>
      </c>
      <c r="L38" s="11"/>
      <c r="M38" s="19">
        <f t="shared" si="3"/>
        <v>0</v>
      </c>
      <c r="N38" s="11"/>
      <c r="O38" s="19">
        <f t="shared" si="4"/>
        <v>0</v>
      </c>
      <c r="P38" s="11"/>
      <c r="Q38" s="19">
        <f t="shared" si="5"/>
        <v>0</v>
      </c>
      <c r="R38" s="11"/>
      <c r="S38" s="19">
        <f t="shared" si="6"/>
        <v>0</v>
      </c>
      <c r="T38" s="11"/>
      <c r="U38" s="19">
        <f t="shared" si="7"/>
        <v>0</v>
      </c>
      <c r="V38" s="11"/>
      <c r="W38" s="20">
        <f t="shared" si="8"/>
        <v>0</v>
      </c>
      <c r="X38" s="11"/>
      <c r="Y38" s="19">
        <f t="shared" si="11"/>
        <v>0</v>
      </c>
      <c r="Z38" s="11"/>
      <c r="AA38" s="19">
        <f t="shared" si="9"/>
        <v>0</v>
      </c>
      <c r="AB38" s="11"/>
      <c r="AC38" s="19">
        <f t="shared" si="10"/>
        <v>0</v>
      </c>
      <c r="AD38" s="13"/>
      <c r="AE38" s="26"/>
    </row>
    <row r="39" spans="1:31">
      <c r="A39" s="11">
        <v>25</v>
      </c>
      <c r="B39" s="11"/>
      <c r="C39" s="11"/>
      <c r="D39" s="11"/>
      <c r="E39" s="11"/>
      <c r="F39" s="11"/>
      <c r="G39" s="12"/>
      <c r="H39" s="11"/>
      <c r="I39" s="19">
        <f t="shared" si="1"/>
        <v>0</v>
      </c>
      <c r="J39" s="11"/>
      <c r="K39" s="19">
        <f t="shared" si="2"/>
        <v>0</v>
      </c>
      <c r="L39" s="11"/>
      <c r="M39" s="19">
        <f t="shared" si="3"/>
        <v>0</v>
      </c>
      <c r="N39" s="11"/>
      <c r="O39" s="19">
        <f t="shared" si="4"/>
        <v>0</v>
      </c>
      <c r="P39" s="11"/>
      <c r="Q39" s="19">
        <f t="shared" si="5"/>
        <v>0</v>
      </c>
      <c r="R39" s="11"/>
      <c r="S39" s="19">
        <f t="shared" si="6"/>
        <v>0</v>
      </c>
      <c r="T39" s="11"/>
      <c r="U39" s="19">
        <f t="shared" si="7"/>
        <v>0</v>
      </c>
      <c r="V39" s="11"/>
      <c r="W39" s="20">
        <f t="shared" si="8"/>
        <v>0</v>
      </c>
      <c r="X39" s="11"/>
      <c r="Y39" s="19">
        <f t="shared" si="11"/>
        <v>0</v>
      </c>
      <c r="Z39" s="11"/>
      <c r="AA39" s="19">
        <f t="shared" si="9"/>
        <v>0</v>
      </c>
      <c r="AB39" s="11"/>
      <c r="AC39" s="19">
        <f t="shared" si="10"/>
        <v>0</v>
      </c>
      <c r="AD39" s="13"/>
      <c r="AE39" s="26"/>
    </row>
    <row r="40" spans="1:31">
      <c r="A40" s="11">
        <v>26</v>
      </c>
      <c r="B40" s="11"/>
      <c r="C40" s="11"/>
      <c r="D40" s="11"/>
      <c r="E40" s="11"/>
      <c r="F40" s="11"/>
      <c r="G40" s="12"/>
      <c r="H40" s="11"/>
      <c r="I40" s="19">
        <f t="shared" si="1"/>
        <v>0</v>
      </c>
      <c r="J40" s="11"/>
      <c r="K40" s="19">
        <f t="shared" si="2"/>
        <v>0</v>
      </c>
      <c r="L40" s="11"/>
      <c r="M40" s="19">
        <f t="shared" si="3"/>
        <v>0</v>
      </c>
      <c r="N40" s="11"/>
      <c r="O40" s="19">
        <f t="shared" si="4"/>
        <v>0</v>
      </c>
      <c r="P40" s="11"/>
      <c r="Q40" s="19">
        <f t="shared" si="5"/>
        <v>0</v>
      </c>
      <c r="R40" s="11"/>
      <c r="S40" s="19">
        <f t="shared" si="6"/>
        <v>0</v>
      </c>
      <c r="T40" s="11"/>
      <c r="U40" s="19">
        <f t="shared" si="7"/>
        <v>0</v>
      </c>
      <c r="V40" s="11"/>
      <c r="W40" s="20">
        <f t="shared" si="8"/>
        <v>0</v>
      </c>
      <c r="X40" s="11"/>
      <c r="Y40" s="19">
        <f t="shared" si="11"/>
        <v>0</v>
      </c>
      <c r="Z40" s="11"/>
      <c r="AA40" s="19">
        <f t="shared" si="9"/>
        <v>0</v>
      </c>
      <c r="AB40" s="11"/>
      <c r="AC40" s="19">
        <f t="shared" si="10"/>
        <v>0</v>
      </c>
      <c r="AD40" s="13"/>
      <c r="AE40" s="26"/>
    </row>
    <row r="41" spans="1:31">
      <c r="A41" s="11">
        <v>27</v>
      </c>
      <c r="B41" s="11"/>
      <c r="C41" s="11"/>
      <c r="D41" s="11"/>
      <c r="E41" s="11"/>
      <c r="F41" s="11"/>
      <c r="G41" s="12"/>
      <c r="H41" s="11"/>
      <c r="I41" s="19">
        <f t="shared" si="1"/>
        <v>0</v>
      </c>
      <c r="J41" s="11"/>
      <c r="K41" s="19">
        <f t="shared" si="2"/>
        <v>0</v>
      </c>
      <c r="L41" s="11"/>
      <c r="M41" s="19">
        <f t="shared" si="3"/>
        <v>0</v>
      </c>
      <c r="N41" s="11"/>
      <c r="O41" s="19">
        <f t="shared" si="4"/>
        <v>0</v>
      </c>
      <c r="P41" s="11"/>
      <c r="Q41" s="19">
        <f t="shared" si="5"/>
        <v>0</v>
      </c>
      <c r="R41" s="11"/>
      <c r="S41" s="19">
        <f t="shared" si="6"/>
        <v>0</v>
      </c>
      <c r="T41" s="11"/>
      <c r="U41" s="19">
        <f t="shared" si="7"/>
        <v>0</v>
      </c>
      <c r="V41" s="11"/>
      <c r="W41" s="20">
        <f t="shared" si="8"/>
        <v>0</v>
      </c>
      <c r="X41" s="11"/>
      <c r="Y41" s="19">
        <f t="shared" si="11"/>
        <v>0</v>
      </c>
      <c r="Z41" s="11"/>
      <c r="AA41" s="19">
        <f t="shared" si="9"/>
        <v>0</v>
      </c>
      <c r="AB41" s="11"/>
      <c r="AC41" s="19">
        <f t="shared" si="10"/>
        <v>0</v>
      </c>
      <c r="AD41" s="13"/>
      <c r="AE41" s="26"/>
    </row>
    <row r="42" spans="1:31">
      <c r="A42" s="11">
        <v>28</v>
      </c>
      <c r="B42" s="11"/>
      <c r="C42" s="11"/>
      <c r="D42" s="11"/>
      <c r="E42" s="11"/>
      <c r="F42" s="11"/>
      <c r="G42" s="12"/>
      <c r="H42" s="11"/>
      <c r="I42" s="19">
        <f t="shared" si="1"/>
        <v>0</v>
      </c>
      <c r="J42" s="11"/>
      <c r="K42" s="19">
        <f t="shared" si="2"/>
        <v>0</v>
      </c>
      <c r="L42" s="11"/>
      <c r="M42" s="19">
        <f t="shared" si="3"/>
        <v>0</v>
      </c>
      <c r="N42" s="11"/>
      <c r="O42" s="19">
        <f t="shared" si="4"/>
        <v>0</v>
      </c>
      <c r="P42" s="11"/>
      <c r="Q42" s="19">
        <f t="shared" si="5"/>
        <v>0</v>
      </c>
      <c r="R42" s="11"/>
      <c r="S42" s="19">
        <f t="shared" si="6"/>
        <v>0</v>
      </c>
      <c r="T42" s="11"/>
      <c r="U42" s="19">
        <f t="shared" si="7"/>
        <v>0</v>
      </c>
      <c r="V42" s="11"/>
      <c r="W42" s="20">
        <f t="shared" si="8"/>
        <v>0</v>
      </c>
      <c r="X42" s="11"/>
      <c r="Y42" s="19">
        <f t="shared" si="11"/>
        <v>0</v>
      </c>
      <c r="Z42" s="11"/>
      <c r="AA42" s="19">
        <f t="shared" si="9"/>
        <v>0</v>
      </c>
      <c r="AB42" s="11"/>
      <c r="AC42" s="19">
        <f t="shared" si="10"/>
        <v>0</v>
      </c>
      <c r="AD42" s="13"/>
      <c r="AE42" s="26"/>
    </row>
    <row r="43" spans="1:31">
      <c r="A43" s="11">
        <v>29</v>
      </c>
      <c r="B43" s="11"/>
      <c r="C43" s="11"/>
      <c r="D43" s="11"/>
      <c r="E43" s="11"/>
      <c r="F43" s="11"/>
      <c r="G43" s="12"/>
      <c r="H43" s="11"/>
      <c r="I43" s="19">
        <f t="shared" si="1"/>
        <v>0</v>
      </c>
      <c r="J43" s="11"/>
      <c r="K43" s="19">
        <f t="shared" si="2"/>
        <v>0</v>
      </c>
      <c r="L43" s="11"/>
      <c r="M43" s="19">
        <f t="shared" si="3"/>
        <v>0</v>
      </c>
      <c r="N43" s="11"/>
      <c r="O43" s="19">
        <f t="shared" si="4"/>
        <v>0</v>
      </c>
      <c r="P43" s="11"/>
      <c r="Q43" s="19">
        <f t="shared" si="5"/>
        <v>0</v>
      </c>
      <c r="R43" s="11"/>
      <c r="S43" s="19">
        <f t="shared" si="6"/>
        <v>0</v>
      </c>
      <c r="T43" s="11"/>
      <c r="U43" s="19">
        <f t="shared" si="7"/>
        <v>0</v>
      </c>
      <c r="V43" s="11"/>
      <c r="W43" s="20">
        <f t="shared" si="8"/>
        <v>0</v>
      </c>
      <c r="X43" s="11"/>
      <c r="Y43" s="19">
        <f t="shared" si="11"/>
        <v>0</v>
      </c>
      <c r="Z43" s="11"/>
      <c r="AA43" s="19">
        <f t="shared" si="9"/>
        <v>0</v>
      </c>
      <c r="AB43" s="11"/>
      <c r="AC43" s="19">
        <f t="shared" si="10"/>
        <v>0</v>
      </c>
      <c r="AD43" s="13"/>
      <c r="AE43" s="26"/>
    </row>
    <row r="44" spans="1:31">
      <c r="A44" s="11">
        <v>30</v>
      </c>
      <c r="B44" s="11"/>
      <c r="C44" s="11"/>
      <c r="D44" s="11"/>
      <c r="E44" s="11"/>
      <c r="F44" s="11"/>
      <c r="G44" s="12"/>
      <c r="H44" s="11"/>
      <c r="I44" s="19">
        <f t="shared" si="1"/>
        <v>0</v>
      </c>
      <c r="J44" s="11"/>
      <c r="K44" s="19">
        <f t="shared" si="2"/>
        <v>0</v>
      </c>
      <c r="L44" s="11"/>
      <c r="M44" s="19">
        <f t="shared" si="3"/>
        <v>0</v>
      </c>
      <c r="N44" s="11"/>
      <c r="O44" s="19">
        <f t="shared" si="4"/>
        <v>0</v>
      </c>
      <c r="P44" s="11"/>
      <c r="Q44" s="19">
        <f t="shared" si="5"/>
        <v>0</v>
      </c>
      <c r="R44" s="11"/>
      <c r="S44" s="19">
        <f t="shared" si="6"/>
        <v>0</v>
      </c>
      <c r="T44" s="11"/>
      <c r="U44" s="19">
        <f t="shared" si="7"/>
        <v>0</v>
      </c>
      <c r="V44" s="11"/>
      <c r="W44" s="20">
        <f t="shared" si="8"/>
        <v>0</v>
      </c>
      <c r="X44" s="11"/>
      <c r="Y44" s="19">
        <f t="shared" si="11"/>
        <v>0</v>
      </c>
      <c r="Z44" s="11"/>
      <c r="AA44" s="19">
        <f t="shared" si="9"/>
        <v>0</v>
      </c>
      <c r="AB44" s="11"/>
      <c r="AC44" s="19">
        <f t="shared" si="10"/>
        <v>0</v>
      </c>
      <c r="AD44" s="13"/>
      <c r="AE44" s="26"/>
    </row>
    <row r="45" spans="1:31">
      <c r="A45" s="11">
        <v>31</v>
      </c>
      <c r="B45" s="11"/>
      <c r="C45" s="11"/>
      <c r="D45" s="11"/>
      <c r="E45" s="11"/>
      <c r="F45" s="11"/>
      <c r="G45" s="12"/>
      <c r="H45" s="11"/>
      <c r="I45" s="19">
        <f t="shared" si="1"/>
        <v>0</v>
      </c>
      <c r="J45" s="11"/>
      <c r="K45" s="19">
        <f t="shared" si="2"/>
        <v>0</v>
      </c>
      <c r="L45" s="11"/>
      <c r="M45" s="19">
        <f t="shared" si="3"/>
        <v>0</v>
      </c>
      <c r="N45" s="11"/>
      <c r="O45" s="19">
        <f t="shared" si="4"/>
        <v>0</v>
      </c>
      <c r="P45" s="11"/>
      <c r="Q45" s="19">
        <f t="shared" si="5"/>
        <v>0</v>
      </c>
      <c r="R45" s="11"/>
      <c r="S45" s="19">
        <f t="shared" si="6"/>
        <v>0</v>
      </c>
      <c r="T45" s="11"/>
      <c r="U45" s="19">
        <f t="shared" si="7"/>
        <v>0</v>
      </c>
      <c r="V45" s="11"/>
      <c r="W45" s="20">
        <f t="shared" si="8"/>
        <v>0</v>
      </c>
      <c r="X45" s="11"/>
      <c r="Y45" s="19">
        <f t="shared" si="11"/>
        <v>0</v>
      </c>
      <c r="Z45" s="11"/>
      <c r="AA45" s="19">
        <f t="shared" si="9"/>
        <v>0</v>
      </c>
      <c r="AB45" s="11"/>
      <c r="AC45" s="19">
        <f t="shared" si="10"/>
        <v>0</v>
      </c>
      <c r="AD45" s="13"/>
      <c r="AE45" s="26"/>
    </row>
    <row r="46" spans="1:31">
      <c r="A46" s="11">
        <v>32</v>
      </c>
      <c r="B46" s="11"/>
      <c r="C46" s="11"/>
      <c r="D46" s="11"/>
      <c r="E46" s="11"/>
      <c r="F46" s="11"/>
      <c r="G46" s="12"/>
      <c r="H46" s="11"/>
      <c r="I46" s="19">
        <f t="shared" si="1"/>
        <v>0</v>
      </c>
      <c r="J46" s="11"/>
      <c r="K46" s="19">
        <f t="shared" si="2"/>
        <v>0</v>
      </c>
      <c r="L46" s="11"/>
      <c r="M46" s="19">
        <f t="shared" si="3"/>
        <v>0</v>
      </c>
      <c r="N46" s="11"/>
      <c r="O46" s="19">
        <f t="shared" si="4"/>
        <v>0</v>
      </c>
      <c r="P46" s="11"/>
      <c r="Q46" s="19">
        <f t="shared" si="5"/>
        <v>0</v>
      </c>
      <c r="R46" s="11"/>
      <c r="S46" s="19">
        <f t="shared" si="6"/>
        <v>0</v>
      </c>
      <c r="T46" s="11"/>
      <c r="U46" s="19">
        <f t="shared" si="7"/>
        <v>0</v>
      </c>
      <c r="V46" s="11"/>
      <c r="W46" s="20">
        <f t="shared" si="8"/>
        <v>0</v>
      </c>
      <c r="X46" s="11"/>
      <c r="Y46" s="19">
        <f t="shared" si="11"/>
        <v>0</v>
      </c>
      <c r="Z46" s="11"/>
      <c r="AA46" s="19">
        <f t="shared" si="9"/>
        <v>0</v>
      </c>
      <c r="AB46" s="11"/>
      <c r="AC46" s="19">
        <f t="shared" si="10"/>
        <v>0</v>
      </c>
      <c r="AD46" s="13"/>
      <c r="AE46" s="26"/>
    </row>
    <row r="47" spans="1:31">
      <c r="A47" s="11">
        <v>33</v>
      </c>
      <c r="B47" s="11"/>
      <c r="C47" s="11"/>
      <c r="D47" s="11"/>
      <c r="E47" s="11"/>
      <c r="F47" s="11"/>
      <c r="G47" s="12"/>
      <c r="H47" s="11"/>
      <c r="I47" s="19">
        <f t="shared" si="1"/>
        <v>0</v>
      </c>
      <c r="J47" s="11"/>
      <c r="K47" s="19">
        <f t="shared" si="2"/>
        <v>0</v>
      </c>
      <c r="L47" s="11"/>
      <c r="M47" s="19">
        <f t="shared" si="3"/>
        <v>0</v>
      </c>
      <c r="N47" s="11"/>
      <c r="O47" s="19">
        <f t="shared" si="4"/>
        <v>0</v>
      </c>
      <c r="P47" s="11"/>
      <c r="Q47" s="19">
        <f t="shared" si="5"/>
        <v>0</v>
      </c>
      <c r="R47" s="11"/>
      <c r="S47" s="19">
        <f t="shared" si="6"/>
        <v>0</v>
      </c>
      <c r="T47" s="11"/>
      <c r="U47" s="19">
        <f t="shared" si="7"/>
        <v>0</v>
      </c>
      <c r="V47" s="11"/>
      <c r="W47" s="20">
        <f t="shared" si="8"/>
        <v>0</v>
      </c>
      <c r="X47" s="11"/>
      <c r="Y47" s="19">
        <f t="shared" si="11"/>
        <v>0</v>
      </c>
      <c r="Z47" s="11"/>
      <c r="AA47" s="19">
        <f t="shared" si="9"/>
        <v>0</v>
      </c>
      <c r="AB47" s="11"/>
      <c r="AC47" s="19">
        <f t="shared" si="10"/>
        <v>0</v>
      </c>
      <c r="AD47" s="13"/>
      <c r="AE47" s="26"/>
    </row>
    <row r="48" spans="1:31">
      <c r="A48" s="11">
        <v>34</v>
      </c>
      <c r="B48" s="11"/>
      <c r="C48" s="11"/>
      <c r="D48" s="11"/>
      <c r="E48" s="11"/>
      <c r="F48" s="11"/>
      <c r="G48" s="12"/>
      <c r="H48" s="11"/>
      <c r="I48" s="19">
        <f t="shared" si="1"/>
        <v>0</v>
      </c>
      <c r="J48" s="11"/>
      <c r="K48" s="19">
        <f t="shared" si="2"/>
        <v>0</v>
      </c>
      <c r="L48" s="11"/>
      <c r="M48" s="19">
        <f t="shared" si="3"/>
        <v>0</v>
      </c>
      <c r="N48" s="11"/>
      <c r="O48" s="19">
        <f t="shared" si="4"/>
        <v>0</v>
      </c>
      <c r="P48" s="11"/>
      <c r="Q48" s="19">
        <f t="shared" si="5"/>
        <v>0</v>
      </c>
      <c r="R48" s="11"/>
      <c r="S48" s="19">
        <f t="shared" si="6"/>
        <v>0</v>
      </c>
      <c r="T48" s="11"/>
      <c r="U48" s="19">
        <f t="shared" si="7"/>
        <v>0</v>
      </c>
      <c r="V48" s="11"/>
      <c r="W48" s="20">
        <f t="shared" si="8"/>
        <v>0</v>
      </c>
      <c r="X48" s="11"/>
      <c r="Y48" s="19">
        <f t="shared" si="11"/>
        <v>0</v>
      </c>
      <c r="Z48" s="11"/>
      <c r="AA48" s="19">
        <f t="shared" si="9"/>
        <v>0</v>
      </c>
      <c r="AB48" s="11"/>
      <c r="AC48" s="19">
        <f t="shared" si="10"/>
        <v>0</v>
      </c>
      <c r="AD48" s="13"/>
      <c r="AE48" s="26"/>
    </row>
    <row r="49" spans="1:31">
      <c r="A49" s="11">
        <v>35</v>
      </c>
      <c r="B49" s="11"/>
      <c r="C49" s="11"/>
      <c r="D49" s="11"/>
      <c r="E49" s="11"/>
      <c r="F49" s="11"/>
      <c r="G49" s="12"/>
      <c r="H49" s="11"/>
      <c r="I49" s="19">
        <f t="shared" si="1"/>
        <v>0</v>
      </c>
      <c r="J49" s="11"/>
      <c r="K49" s="19">
        <f t="shared" si="2"/>
        <v>0</v>
      </c>
      <c r="L49" s="11"/>
      <c r="M49" s="19">
        <f t="shared" si="3"/>
        <v>0</v>
      </c>
      <c r="N49" s="11"/>
      <c r="O49" s="19">
        <f t="shared" si="4"/>
        <v>0</v>
      </c>
      <c r="P49" s="11"/>
      <c r="Q49" s="19">
        <f t="shared" si="5"/>
        <v>0</v>
      </c>
      <c r="R49" s="11"/>
      <c r="S49" s="19">
        <f t="shared" si="6"/>
        <v>0</v>
      </c>
      <c r="T49" s="11"/>
      <c r="U49" s="19">
        <f t="shared" si="7"/>
        <v>0</v>
      </c>
      <c r="V49" s="11"/>
      <c r="W49" s="20">
        <f t="shared" si="8"/>
        <v>0</v>
      </c>
      <c r="X49" s="11"/>
      <c r="Y49" s="19">
        <f t="shared" si="11"/>
        <v>0</v>
      </c>
      <c r="Z49" s="11"/>
      <c r="AA49" s="19">
        <f t="shared" si="9"/>
        <v>0</v>
      </c>
      <c r="AB49" s="11"/>
      <c r="AC49" s="19">
        <f t="shared" si="10"/>
        <v>0</v>
      </c>
      <c r="AD49" s="13"/>
      <c r="AE49" s="26"/>
    </row>
    <row r="50" spans="1:31">
      <c r="A50" s="11">
        <v>36</v>
      </c>
      <c r="B50" s="11"/>
      <c r="C50" s="11"/>
      <c r="D50" s="11"/>
      <c r="E50" s="11"/>
      <c r="F50" s="11"/>
      <c r="G50" s="12"/>
      <c r="H50" s="11"/>
      <c r="I50" s="19">
        <f t="shared" si="1"/>
        <v>0</v>
      </c>
      <c r="J50" s="11"/>
      <c r="K50" s="19">
        <f t="shared" si="2"/>
        <v>0</v>
      </c>
      <c r="L50" s="11"/>
      <c r="M50" s="19">
        <f t="shared" si="3"/>
        <v>0</v>
      </c>
      <c r="N50" s="11"/>
      <c r="O50" s="19">
        <f t="shared" si="4"/>
        <v>0</v>
      </c>
      <c r="P50" s="11"/>
      <c r="Q50" s="19">
        <f t="shared" si="5"/>
        <v>0</v>
      </c>
      <c r="R50" s="11"/>
      <c r="S50" s="19">
        <f t="shared" si="6"/>
        <v>0</v>
      </c>
      <c r="T50" s="11"/>
      <c r="U50" s="19">
        <f t="shared" si="7"/>
        <v>0</v>
      </c>
      <c r="V50" s="11"/>
      <c r="W50" s="20">
        <f t="shared" si="8"/>
        <v>0</v>
      </c>
      <c r="X50" s="11"/>
      <c r="Y50" s="19">
        <f t="shared" si="11"/>
        <v>0</v>
      </c>
      <c r="Z50" s="11"/>
      <c r="AA50" s="19">
        <f t="shared" si="9"/>
        <v>0</v>
      </c>
      <c r="AB50" s="11"/>
      <c r="AC50" s="19">
        <f t="shared" si="10"/>
        <v>0</v>
      </c>
      <c r="AD50" s="13"/>
      <c r="AE50" s="26"/>
    </row>
    <row r="51" spans="1:31">
      <c r="A51" s="11">
        <v>37</v>
      </c>
      <c r="B51" s="11"/>
      <c r="C51" s="11"/>
      <c r="D51" s="11"/>
      <c r="E51" s="11"/>
      <c r="F51" s="11"/>
      <c r="G51" s="12"/>
      <c r="H51" s="11"/>
      <c r="I51" s="19">
        <f t="shared" si="1"/>
        <v>0</v>
      </c>
      <c r="J51" s="11"/>
      <c r="K51" s="19">
        <f t="shared" si="2"/>
        <v>0</v>
      </c>
      <c r="L51" s="11"/>
      <c r="M51" s="19">
        <f t="shared" si="3"/>
        <v>0</v>
      </c>
      <c r="N51" s="11"/>
      <c r="O51" s="19">
        <f t="shared" si="4"/>
        <v>0</v>
      </c>
      <c r="P51" s="11"/>
      <c r="Q51" s="19">
        <f t="shared" si="5"/>
        <v>0</v>
      </c>
      <c r="R51" s="11"/>
      <c r="S51" s="19">
        <f t="shared" si="6"/>
        <v>0</v>
      </c>
      <c r="T51" s="11"/>
      <c r="U51" s="19">
        <f t="shared" si="7"/>
        <v>0</v>
      </c>
      <c r="V51" s="11"/>
      <c r="W51" s="20">
        <f t="shared" si="8"/>
        <v>0</v>
      </c>
      <c r="X51" s="11"/>
      <c r="Y51" s="19">
        <f t="shared" si="11"/>
        <v>0</v>
      </c>
      <c r="Z51" s="11"/>
      <c r="AA51" s="19">
        <f t="shared" si="9"/>
        <v>0</v>
      </c>
      <c r="AB51" s="11"/>
      <c r="AC51" s="19">
        <f t="shared" si="10"/>
        <v>0</v>
      </c>
      <c r="AD51" s="13"/>
      <c r="AE51" s="26"/>
    </row>
    <row r="52" spans="1:31">
      <c r="A52" s="11">
        <v>38</v>
      </c>
      <c r="B52" s="11"/>
      <c r="C52" s="11"/>
      <c r="D52" s="11"/>
      <c r="E52" s="11"/>
      <c r="F52" s="11"/>
      <c r="G52" s="12"/>
      <c r="H52" s="11"/>
      <c r="I52" s="19">
        <f t="shared" si="1"/>
        <v>0</v>
      </c>
      <c r="J52" s="11"/>
      <c r="K52" s="19">
        <f t="shared" si="2"/>
        <v>0</v>
      </c>
      <c r="L52" s="11"/>
      <c r="M52" s="19">
        <f t="shared" si="3"/>
        <v>0</v>
      </c>
      <c r="N52" s="11"/>
      <c r="O52" s="19">
        <f t="shared" si="4"/>
        <v>0</v>
      </c>
      <c r="P52" s="11"/>
      <c r="Q52" s="19">
        <f t="shared" si="5"/>
        <v>0</v>
      </c>
      <c r="R52" s="11"/>
      <c r="S52" s="19">
        <f t="shared" si="6"/>
        <v>0</v>
      </c>
      <c r="T52" s="11"/>
      <c r="U52" s="19">
        <f t="shared" si="7"/>
        <v>0</v>
      </c>
      <c r="V52" s="11"/>
      <c r="W52" s="20">
        <f t="shared" si="8"/>
        <v>0</v>
      </c>
      <c r="X52" s="11"/>
      <c r="Y52" s="19">
        <f t="shared" si="11"/>
        <v>0</v>
      </c>
      <c r="Z52" s="11"/>
      <c r="AA52" s="19">
        <f t="shared" si="9"/>
        <v>0</v>
      </c>
      <c r="AB52" s="11"/>
      <c r="AC52" s="19">
        <f t="shared" si="10"/>
        <v>0</v>
      </c>
      <c r="AD52" s="13"/>
      <c r="AE52" s="26"/>
    </row>
    <row r="54" spans="2:2">
      <c r="B54" s="1" t="s">
        <v>474</v>
      </c>
    </row>
    <row r="55" spans="2:2">
      <c r="B55" s="1" t="s">
        <v>475</v>
      </c>
    </row>
    <row r="56" spans="2:2">
      <c r="B56" s="1" t="s">
        <v>476</v>
      </c>
    </row>
    <row r="57" spans="2:2">
      <c r="B57" s="1" t="s">
        <v>477</v>
      </c>
    </row>
    <row r="58" spans="2:13">
      <c r="B58" s="14" t="s">
        <v>478</v>
      </c>
      <c r="C58" s="15"/>
      <c r="D58" s="16"/>
      <c r="E58" s="17"/>
      <c r="F58" s="16"/>
      <c r="G58" s="16"/>
      <c r="H58" s="16"/>
      <c r="I58" s="16"/>
      <c r="J58" s="16"/>
      <c r="K58" s="16"/>
      <c r="L58" s="16"/>
      <c r="M58" s="16"/>
    </row>
    <row r="59" spans="2:13">
      <c r="B59" s="14" t="s">
        <v>479</v>
      </c>
      <c r="C59" s="14"/>
      <c r="E59" s="16"/>
      <c r="F59" s="16"/>
      <c r="G59" s="16"/>
      <c r="H59" s="16"/>
      <c r="I59" s="16"/>
      <c r="J59" s="16"/>
      <c r="K59" s="16"/>
      <c r="L59" s="16"/>
      <c r="M59" s="16"/>
    </row>
    <row r="60" spans="2:13">
      <c r="B60" s="14" t="s">
        <v>480</v>
      </c>
      <c r="C60" s="14"/>
      <c r="E60" s="18"/>
      <c r="F60" s="18"/>
      <c r="G60" s="18"/>
      <c r="H60" s="18"/>
      <c r="I60" s="18"/>
      <c r="J60" s="16"/>
      <c r="K60" s="16"/>
      <c r="L60" s="16"/>
      <c r="M60" s="16"/>
    </row>
    <row r="61" spans="3:13">
      <c r="C61" s="16"/>
      <c r="D61" s="18"/>
      <c r="E61" s="16"/>
      <c r="F61" s="16"/>
      <c r="G61" s="18"/>
      <c r="H61" s="18"/>
      <c r="I61" s="18"/>
      <c r="J61" s="16"/>
      <c r="K61" s="16"/>
      <c r="L61" s="16"/>
      <c r="M61" s="16"/>
    </row>
    <row r="62" spans="3:13">
      <c r="C62" s="16"/>
      <c r="D62" s="18"/>
      <c r="E62" s="16"/>
      <c r="F62" s="16"/>
      <c r="G62" s="18"/>
      <c r="H62" s="18"/>
      <c r="I62" s="18"/>
      <c r="J62" s="16"/>
      <c r="K62" s="16"/>
      <c r="L62" s="16"/>
      <c r="M62" s="16"/>
    </row>
    <row r="63" spans="3:13">
      <c r="C63" s="16"/>
      <c r="D63" s="18"/>
      <c r="E63" s="16"/>
      <c r="F63" s="16"/>
      <c r="G63" s="18"/>
      <c r="H63" s="18"/>
      <c r="I63" s="18"/>
      <c r="J63" s="16"/>
      <c r="K63" s="16"/>
      <c r="L63" s="16"/>
      <c r="M63" s="16"/>
    </row>
    <row r="64" spans="3:13">
      <c r="C64" s="16"/>
      <c r="D64" s="18"/>
      <c r="E64" s="16"/>
      <c r="F64" s="16"/>
      <c r="G64" s="18"/>
      <c r="H64" s="18"/>
      <c r="I64" s="18"/>
      <c r="J64" s="16"/>
      <c r="K64" s="16"/>
      <c r="L64" s="16"/>
      <c r="M64" s="16"/>
    </row>
    <row r="65" spans="3:13">
      <c r="C65" s="16"/>
      <c r="D65" s="18"/>
      <c r="E65" s="16"/>
      <c r="F65" s="16"/>
      <c r="G65" s="18"/>
      <c r="H65" s="18"/>
      <c r="I65" s="18"/>
      <c r="J65" s="16"/>
      <c r="K65" s="16"/>
      <c r="L65" s="16"/>
      <c r="M65" s="16"/>
    </row>
    <row r="66" spans="3:13">
      <c r="C66" s="16"/>
      <c r="D66" s="18"/>
      <c r="E66" s="16"/>
      <c r="F66" s="16"/>
      <c r="G66" s="18"/>
      <c r="H66" s="18"/>
      <c r="I66" s="18"/>
      <c r="J66" s="16"/>
      <c r="K66" s="16"/>
      <c r="L66" s="16"/>
      <c r="M66" s="16"/>
    </row>
    <row r="67" spans="3:13">
      <c r="C67" s="16"/>
      <c r="D67" s="18"/>
      <c r="E67" s="16"/>
      <c r="F67" s="16"/>
      <c r="G67" s="18"/>
      <c r="H67" s="18"/>
      <c r="I67" s="18"/>
      <c r="J67" s="16"/>
      <c r="K67" s="16"/>
      <c r="L67" s="16"/>
      <c r="M67" s="16"/>
    </row>
    <row r="68" spans="3:13">
      <c r="C68" s="16"/>
      <c r="D68" s="18"/>
      <c r="E68" s="16"/>
      <c r="F68" s="16"/>
      <c r="G68" s="18"/>
      <c r="H68" s="18"/>
      <c r="I68" s="18"/>
      <c r="J68" s="16"/>
      <c r="K68" s="16"/>
      <c r="L68" s="16"/>
      <c r="M68" s="16"/>
    </row>
    <row r="69" spans="3:13">
      <c r="C69" s="16"/>
      <c r="D69" s="18"/>
      <c r="E69" s="16"/>
      <c r="F69" s="16"/>
      <c r="G69" s="18"/>
      <c r="H69" s="18"/>
      <c r="I69" s="18"/>
      <c r="J69" s="16"/>
      <c r="K69" s="16"/>
      <c r="L69" s="16"/>
      <c r="M69" s="16"/>
    </row>
    <row r="70" spans="3:13">
      <c r="C70" s="16"/>
      <c r="D70" s="18"/>
      <c r="E70" s="16"/>
      <c r="F70" s="16"/>
      <c r="G70" s="18"/>
      <c r="H70" s="18"/>
      <c r="I70" s="18"/>
      <c r="J70" s="16"/>
      <c r="K70" s="16"/>
      <c r="L70" s="16"/>
      <c r="M70" s="16"/>
    </row>
    <row r="71" spans="3:13"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</sheetData>
  <mergeCells count="11"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</mergeCells>
  <conditionalFormatting sqref="C7:C13">
    <cfRule type="cellIs" dxfId="0" priority="1" stopIfTrue="1" operator="equal">
      <formula>0</formula>
    </cfRule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DHTKVM21A_HDL</vt:lpstr>
      <vt:lpstr>DHTKVM21B_HDL</vt:lpstr>
      <vt:lpstr>LY THUYET_MAU</vt:lpstr>
      <vt:lpstr>thuc hanh-mau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 Hong</dc:creator>
  <cp:lastModifiedBy>Tokagami Hùng</cp:lastModifiedBy>
  <dcterms:created xsi:type="dcterms:W3CDTF">2020-08-29T13:15:00Z</dcterms:created>
  <dcterms:modified xsi:type="dcterms:W3CDTF">2026-09-12T02:44:48Z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B99BA534CA984BD5999E181A8A2570D9_13</vt:lpwstr>
  </property>
  <property fmtid="{D5CDD505-2E9C-101B-9397-08002B2CF9AE}" pid="3" name="KSOProductBuildVer">
    <vt:lpwstr>2057-12.2.0.23206</vt:lpwstr>
  </property>
</Properties>
</file>